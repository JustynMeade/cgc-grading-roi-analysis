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  <sheet state="visible" name="Set Performance Export" sheetId="2" r:id="rId5"/>
    <sheet state="visible" name="Summary" sheetId="3" r:id="rId6"/>
    <sheet state="visible" name="Cards" sheetId="4" r:id="rId7"/>
    <sheet state="visible" name="CGC Pop Rates" sheetId="5" r:id="rId8"/>
    <sheet state="visible" name="Market Prices" sheetId="6" r:id="rId9"/>
    <sheet state="visible" name="Analysis" sheetId="7" r:id="rId10"/>
    <sheet state="visible" name="Set Performance" sheetId="8" r:id="rId11"/>
  </sheets>
  <definedNames/>
  <calcPr/>
  <extLst>
    <ext uri="GoogleSheetsCustomDataVersion2">
      <go:sheetsCustomData xmlns:go="http://customooxmlschemas.google.com/" r:id="rId12" roundtripDataChecksum="I48LD6HItVTaTUo99AzCtLX5rbGatnOJTF1sxUNEq68="/>
    </ext>
  </extLst>
</workbook>
</file>

<file path=xl/sharedStrings.xml><?xml version="1.0" encoding="utf-8"?>
<sst xmlns="http://schemas.openxmlformats.org/spreadsheetml/2006/main" count="982" uniqueCount="215">
  <si>
    <t>Card ID</t>
  </si>
  <si>
    <t>Card Name</t>
  </si>
  <si>
    <t>Promo Set</t>
  </si>
  <si>
    <t>Language</t>
  </si>
  <si>
    <t>Qty</t>
  </si>
  <si>
    <t>Purchase Price / Unit ($)</t>
  </si>
  <si>
    <t>Grading Cost / Unit ($)</t>
  </si>
  <si>
    <t>Withdrawal Fee / Unit ($)</t>
  </si>
  <si>
    <t>Total Cost ($)</t>
  </si>
  <si>
    <t>Pristine 10 Rate</t>
  </si>
  <si>
    <t>CGC 10 Rate</t>
  </si>
  <si>
    <t>CGC 9 Rate</t>
  </si>
  <si>
    <t>CGC 8 &amp; Below Rate</t>
  </si>
  <si>
    <t>Pop Reliable?</t>
  </si>
  <si>
    <t>Pristine Set Price ($)</t>
  </si>
  <si>
    <t>Pristine 10 Indiv ($)</t>
  </si>
  <si>
    <t>CGC 10 Price ($)</t>
  </si>
  <si>
    <t>CGC 9 Price ($)</t>
  </si>
  <si>
    <t>CGC 8 Raw Value ($)</t>
  </si>
  <si>
    <t>Price Source</t>
  </si>
  <si>
    <t>Date Checked</t>
  </si>
  <si>
    <t>Est. Pristine 10s</t>
  </si>
  <si>
    <t>Est. CGC 10s</t>
  </si>
  <si>
    <t>Est. CGC 9s</t>
  </si>
  <si>
    <t>Est. CGC 8 &amp; Below</t>
  </si>
  <si>
    <t>Est. Pristine Sets</t>
  </si>
  <si>
    <t>Est. Pristine Indiv</t>
  </si>
  <si>
    <t>Expected Value ($)</t>
  </si>
  <si>
    <t>Expected Profit ($)</t>
  </si>
  <si>
    <t>Profit Per Unit ($)</t>
  </si>
  <si>
    <t>Exp. Value if Sold as Sets ($)</t>
  </si>
  <si>
    <t>P-001</t>
  </si>
  <si>
    <t>Monkey.D.Luffy</t>
  </si>
  <si>
    <t>25th Anniversary Japanese</t>
  </si>
  <si>
    <t>JP</t>
  </si>
  <si>
    <t>Yes</t>
  </si>
  <si>
    <t>Ebay</t>
  </si>
  <si>
    <t>OP01-001</t>
  </si>
  <si>
    <t>Roronoa Zoro</t>
  </si>
  <si>
    <t>OP01-016</t>
  </si>
  <si>
    <t>Nami</t>
  </si>
  <si>
    <t>ST01-008</t>
  </si>
  <si>
    <t>Nico Robin</t>
  </si>
  <si>
    <t>ST01-006-JP</t>
  </si>
  <si>
    <t>Tony Tony Chopper</t>
  </si>
  <si>
    <t>OP01-013</t>
  </si>
  <si>
    <t>Sanji</t>
  </si>
  <si>
    <t>OP01-022</t>
  </si>
  <si>
    <t>Brook</t>
  </si>
  <si>
    <t>ST01-005</t>
  </si>
  <si>
    <t>Jinbe</t>
  </si>
  <si>
    <t>ST01-010</t>
  </si>
  <si>
    <t>Franky</t>
  </si>
  <si>
    <t>ST01-002-JP</t>
  </si>
  <si>
    <t>Usopp</t>
  </si>
  <si>
    <t>ST25-001</t>
  </si>
  <si>
    <t>Base Shop Collection Vol. 1</t>
  </si>
  <si>
    <t>OP08-001</t>
  </si>
  <si>
    <t>OP05-098</t>
  </si>
  <si>
    <t>Enel</t>
  </si>
  <si>
    <t>OP10-042</t>
  </si>
  <si>
    <t>OP06-021</t>
  </si>
  <si>
    <t>Perona</t>
  </si>
  <si>
    <t>OP10-003</t>
  </si>
  <si>
    <t>Sugar</t>
  </si>
  <si>
    <t>DON!! 1</t>
  </si>
  <si>
    <t>Kumamoto Special</t>
  </si>
  <si>
    <t>DON!! 2</t>
  </si>
  <si>
    <t>DON!! 3</t>
  </si>
  <si>
    <t>DON!! 4</t>
  </si>
  <si>
    <t>DON!! 5</t>
  </si>
  <si>
    <t>DON!! 6</t>
  </si>
  <si>
    <t>DON!! 7</t>
  </si>
  <si>
    <t>DON!! 8</t>
  </si>
  <si>
    <t>DON!! 9</t>
  </si>
  <si>
    <t>DON!! 10</t>
  </si>
  <si>
    <t>P-047</t>
  </si>
  <si>
    <t>Live Action Collection</t>
  </si>
  <si>
    <t>EN</t>
  </si>
  <si>
    <t>P-055</t>
  </si>
  <si>
    <t>P-056</t>
  </si>
  <si>
    <t>P-053</t>
  </si>
  <si>
    <t>P-050</t>
  </si>
  <si>
    <t>P-048</t>
  </si>
  <si>
    <t>Arlong</t>
  </si>
  <si>
    <t>P-052</t>
  </si>
  <si>
    <t>Dracule Mihawk</t>
  </si>
  <si>
    <t>P-049</t>
  </si>
  <si>
    <t>P-051</t>
  </si>
  <si>
    <t>Shanks</t>
  </si>
  <si>
    <t>P-022</t>
  </si>
  <si>
    <t>Red Film Collection</t>
  </si>
  <si>
    <t>ST01-006-EN</t>
  </si>
  <si>
    <t>ST01-013</t>
  </si>
  <si>
    <t>ST01-007</t>
  </si>
  <si>
    <t>OP01-017</t>
  </si>
  <si>
    <t>P-016</t>
  </si>
  <si>
    <t>ST01-004</t>
  </si>
  <si>
    <t>OP01-005</t>
  </si>
  <si>
    <t>Uta</t>
  </si>
  <si>
    <t>ST01-011</t>
  </si>
  <si>
    <t>ST01-002-EN</t>
  </si>
  <si>
    <t>OP01-014</t>
  </si>
  <si>
    <t>OP01-021</t>
  </si>
  <si>
    <t>P-073</t>
  </si>
  <si>
    <t>Sabo</t>
  </si>
  <si>
    <t>Best Selection Vol. 3</t>
  </si>
  <si>
    <t>ST05-002</t>
  </si>
  <si>
    <t>Ain</t>
  </si>
  <si>
    <t>P-075</t>
  </si>
  <si>
    <t>ST04-002</t>
  </si>
  <si>
    <t>Ulti</t>
  </si>
  <si>
    <t>OP08-040</t>
  </si>
  <si>
    <t>Atmos</t>
  </si>
  <si>
    <t>OP05-004</t>
  </si>
  <si>
    <t>Emporio.Ivankov</t>
  </si>
  <si>
    <t>OP06-016</t>
  </si>
  <si>
    <t>Raise Max</t>
  </si>
  <si>
    <t>Low Pop - Caution</t>
  </si>
  <si>
    <t>P-074</t>
  </si>
  <si>
    <t>Portgas.D.Ace</t>
  </si>
  <si>
    <t>OP06-090</t>
  </si>
  <si>
    <t>Dr.Hogbackd</t>
  </si>
  <si>
    <t>ST13-012</t>
  </si>
  <si>
    <t>Makino</t>
  </si>
  <si>
    <t>OP04-032</t>
  </si>
  <si>
    <t>Baby 5</t>
  </si>
  <si>
    <t>P-072</t>
  </si>
  <si>
    <t>Ryuma</t>
  </si>
  <si>
    <t>Cards in Set</t>
  </si>
  <si>
    <t>Total Cost Invested ($)</t>
  </si>
  <si>
    <t>Total Exp. Value - Individual ($)</t>
  </si>
  <si>
    <t>Total Exp. Profit - Individual ($)</t>
  </si>
  <si>
    <t>Avg ROI - Individual (%)</t>
  </si>
  <si>
    <t>Pristine 10 Set Price ($)</t>
  </si>
  <si>
    <t>Est. Complete Pristine Sets</t>
  </si>
  <si>
    <t>Total Exp. Value - As Sets ($)</t>
  </si>
  <si>
    <t>Total Exp. Profit - As Sets ($)</t>
  </si>
  <si>
    <t>Avg ROI - As Sets (%)</t>
  </si>
  <si>
    <t>Est. Total Pristine 10s</t>
  </si>
  <si>
    <t>Est. Total CGC 10s</t>
  </si>
  <si>
    <t>Est. Total CGC 9s</t>
  </si>
  <si>
    <t>ONE PIECE CGC CARD PORTFOLIO — SUMMARY</t>
  </si>
  <si>
    <t>PORTFOLIO OVERVIEW</t>
  </si>
  <si>
    <t>Total Cards Tracked</t>
  </si>
  <si>
    <t>Total Grading Cost and Withdraw Fee</t>
  </si>
  <si>
    <t>Total Cards Cost</t>
  </si>
  <si>
    <t>Total Cost Invested</t>
  </si>
  <si>
    <t>Total Expected Value</t>
  </si>
  <si>
    <t>Total Expected Profit</t>
  </si>
  <si>
    <t>Average Expected ROI</t>
  </si>
  <si>
    <t>CARD INFO</t>
  </si>
  <si>
    <t>Card ID
(e.g. C001)</t>
  </si>
  <si>
    <t>Language
(JP / EN)</t>
  </si>
  <si>
    <t>Purchase
Price ($)</t>
  </si>
  <si>
    <t>Grading
Cost ($)</t>
  </si>
  <si>
    <t xml:space="preserve">Withdrawal
Fee ($)
</t>
  </si>
  <si>
    <t>Total Card Cost</t>
  </si>
  <si>
    <t>Total Cost</t>
  </si>
  <si>
    <t>Red FIlm Colleciton</t>
  </si>
  <si>
    <t>CARD REF</t>
  </si>
  <si>
    <t>CGC POP DATA</t>
  </si>
  <si>
    <t>CGC 8 &amp; BELOW
(Auto)</t>
  </si>
  <si>
    <t>Card Name
(Auto from Cards sheet)</t>
  </si>
  <si>
    <t>CGC Pop
Total</t>
  </si>
  <si>
    <t>Pop
Reliable?</t>
  </si>
  <si>
    <t>Pristine 10 Pop</t>
  </si>
  <si>
    <t>CGC 10 Pop</t>
  </si>
  <si>
    <t>CGC 9 Pop</t>
  </si>
  <si>
    <t>Pristine 10
Rate</t>
  </si>
  <si>
    <t>CGC 10
Rate</t>
  </si>
  <si>
    <t>CGC 9
Rate</t>
  </si>
  <si>
    <t>CGC 8 &amp;
Below Rate
(Auto)</t>
  </si>
  <si>
    <t>CGC PRICES</t>
  </si>
  <si>
    <t>Card Name
(Auto)</t>
  </si>
  <si>
    <t>CGC 8 &amp;
Below
Raw Value ($)</t>
  </si>
  <si>
    <t>CGC 9
Individual ($)</t>
  </si>
  <si>
    <t>CGC 10
Individual ($)</t>
  </si>
  <si>
    <t>Pristine 10
Individual ($)</t>
  </si>
  <si>
    <t>Price Source
(eBay/TCGPlayer)</t>
  </si>
  <si>
    <t>Date
Checked</t>
  </si>
  <si>
    <t>COSTS ($)</t>
  </si>
  <si>
    <t>GRADE RATES</t>
  </si>
  <si>
    <t>MARKET PRICES ($)</t>
  </si>
  <si>
    <t>Total Cost ($)
(from Cards)</t>
  </si>
  <si>
    <t>Pristine
Rate</t>
  </si>
  <si>
    <t>Pristine
Set Price ($)</t>
  </si>
  <si>
    <t>Pristine
Indiv. ($)</t>
  </si>
  <si>
    <t>CGC 10
($)</t>
  </si>
  <si>
    <t>CGC 9
($)</t>
  </si>
  <si>
    <t>Est.
Pristine 10s</t>
  </si>
  <si>
    <t>Est.
CGC 10s</t>
  </si>
  <si>
    <t>Est.
CGC 9s</t>
  </si>
  <si>
    <t>Est. CGC 8
&amp; Below</t>
  </si>
  <si>
    <t>Est. Pristine
10 Sets</t>
  </si>
  <si>
    <t>Est. Pristine 10 Sold Invidually</t>
  </si>
  <si>
    <t>Expected
Value ($)</t>
  </si>
  <si>
    <t>Expected
Profit ($)</t>
  </si>
  <si>
    <t>Expected
ROI (%)</t>
  </si>
  <si>
    <t>Expected Value if sold with sets</t>
  </si>
  <si>
    <t>ONE PIECE CGC — SET PERFORMANCE BREAKDOWN</t>
  </si>
  <si>
    <t>Cards
in Set</t>
  </si>
  <si>
    <t>Total Cost
Invested</t>
  </si>
  <si>
    <t>Total Exp.
Value ($)</t>
  </si>
  <si>
    <t>Total Exp.
Profit ($)</t>
  </si>
  <si>
    <t>Avg ROI
(%)</t>
  </si>
  <si>
    <t>Est. Complete
Pristine Sets</t>
  </si>
  <si>
    <t>Pristine 10 Set Price</t>
  </si>
  <si>
    <t>Total Exp.
Value ($) Sold As Sets</t>
  </si>
  <si>
    <t>Total Exp.
Profit ($) Sold As Sets</t>
  </si>
  <si>
    <t>Avg ROI
(%) Sold As Sets</t>
  </si>
  <si>
    <t>Average Profit Per Set</t>
  </si>
  <si>
    <t>Red FIlm Collection</t>
  </si>
  <si>
    <t>PORTFOLIO TOTAL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</si>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</sst>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0.0%"/>
    <numFmt numFmtId="166" formatCode="yyyy\-mm\-dd"/>
    <numFmt numFmtId="167" formatCode="$#,##0.00"/>
    <numFmt numFmtId="168" formatCode="#,##0.0&quot;%&quot;"/>
    <numFmt numFmtId="169" formatCode="mm/dd/yy"/>
    <numFmt numFmtId="170" formatCode="0.0"/>
  </numFmts>
  <fonts count="16">
    <font>
      <sz val="11.0"/>
      <color theme="1"/>
      <name val="Calibri"/>
      <scheme val="minor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2C2C2C"/>
      <name val="Arial"/>
    </font>
    <font>
      <sz val="10.0"/>
      <color rgb="FF2C2C2C"/>
      <name val="Arial"/>
    </font>
    <font>
      <color theme="1"/>
      <name val="Calibri"/>
      <scheme val="minor"/>
    </font>
    <font>
      <sz val="10.0"/>
      <color rgb="FF0000FF"/>
      <name val="Arial"/>
    </font>
    <font>
      <sz val="10.0"/>
      <color rgb="FF555555"/>
      <name val="Arial"/>
    </font>
    <font>
      <sz val="10.0"/>
      <color rgb="FFFFFFFF"/>
      <name val="Arial"/>
    </font>
    <font>
      <i/>
      <sz val="9.0"/>
      <color rgb="FF555555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1B3A6B"/>
        <bgColor rgb="FF1B3A6B"/>
      </patternFill>
    </fill>
    <fill>
      <patternFill patternType="solid">
        <fgColor rgb="FFD6E4F0"/>
        <bgColor rgb="FFD6E4F0"/>
      </patternFill>
    </fill>
    <fill>
      <patternFill patternType="solid">
        <fgColor rgb="FFFDF3DC"/>
        <bgColor rgb="FFFDF3DC"/>
      </patternFill>
    </fill>
    <fill>
      <patternFill patternType="solid">
        <fgColor rgb="FFC9A84C"/>
        <bgColor rgb="FFC9A84C"/>
      </patternFill>
    </fill>
    <fill>
      <patternFill patternType="solid">
        <fgColor rgb="FFF2F2F2"/>
        <bgColor rgb="FFF2F2F2"/>
      </patternFill>
    </fill>
    <fill>
      <patternFill patternType="solid">
        <fgColor rgb="FF4A235A"/>
        <bgColor rgb="FF4A235A"/>
      </patternFill>
    </fill>
    <fill>
      <patternFill patternType="solid">
        <fgColor rgb="FF7B241C"/>
        <bgColor rgb="FF7B241C"/>
      </patternFill>
    </fill>
    <fill>
      <patternFill patternType="solid">
        <fgColor rgb="FFB05A2A"/>
        <bgColor rgb="FFB05A2A"/>
      </patternFill>
    </fill>
    <fill>
      <patternFill patternType="solid">
        <fgColor rgb="FF0E6655"/>
        <bgColor rgb="FF0E6655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</fills>
  <borders count="10">
    <border/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3" numFmtId="3" xfId="0" applyAlignment="1" applyBorder="1" applyFont="1" applyNumberForma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1" fillId="4" fontId="3" numFmtId="165" xfId="0" applyAlignment="1" applyBorder="1" applyFont="1" applyNumberFormat="1">
      <alignment horizontal="center" vertical="center"/>
    </xf>
    <xf borderId="1" fillId="4" fontId="3" numFmtId="166" xfId="0" applyAlignment="1" applyBorder="1" applyFont="1" applyNumberFormat="1">
      <alignment horizontal="center" vertical="center"/>
    </xf>
    <xf borderId="1" fillId="5" fontId="3" numFmtId="0" xfId="0" applyAlignment="1" applyBorder="1" applyFill="1" applyFont="1">
      <alignment horizontal="left" vertical="center"/>
    </xf>
    <xf borderId="1" fillId="5" fontId="3" numFmtId="0" xfId="0" applyAlignment="1" applyBorder="1" applyFont="1">
      <alignment horizontal="center" vertical="center"/>
    </xf>
    <xf borderId="1" fillId="5" fontId="3" numFmtId="3" xfId="0" applyAlignment="1" applyBorder="1" applyFont="1" applyNumberForma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1" fillId="5" fontId="3" numFmtId="165" xfId="0" applyAlignment="1" applyBorder="1" applyFont="1" applyNumberFormat="1">
      <alignment horizontal="center" vertical="center"/>
    </xf>
    <xf borderId="1" fillId="5" fontId="3" numFmtId="166" xfId="0" applyAlignment="1" applyBorder="1" applyFont="1" applyNumberFormat="1">
      <alignment horizontal="center" vertical="center"/>
    </xf>
    <xf borderId="1" fillId="5" fontId="3" numFmtId="165" xfId="0" applyAlignment="1" applyBorder="1" applyFont="1" applyNumberFormat="1">
      <alignment horizontal="center" readingOrder="0" vertical="center"/>
    </xf>
    <xf borderId="1" fillId="4" fontId="3" numFmtId="165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vertical="bottom"/>
    </xf>
    <xf borderId="0" fillId="0" fontId="4" numFmtId="0" xfId="0" applyFont="1"/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5" fontId="5" numFmtId="0" xfId="0" applyAlignment="1" applyFont="1">
      <alignment horizontal="left" vertical="center"/>
    </xf>
    <xf borderId="0" fillId="5" fontId="5" numFmtId="3" xfId="0" applyAlignment="1" applyFont="1" applyNumberFormat="1">
      <alignment horizontal="center" readingOrder="0" vertical="center"/>
    </xf>
    <xf borderId="0" fillId="5" fontId="5" numFmtId="3" xfId="0" applyAlignment="1" applyFont="1" applyNumberFormat="1">
      <alignment horizontal="center" vertical="center"/>
    </xf>
    <xf borderId="0" fillId="5" fontId="5" numFmtId="0" xfId="0" applyAlignment="1" applyFont="1">
      <alignment horizontal="center" vertical="center"/>
    </xf>
    <xf borderId="0" fillId="5" fontId="5" numFmtId="167" xfId="0" applyAlignment="1" applyFont="1" applyNumberFormat="1">
      <alignment horizontal="center" vertical="center"/>
    </xf>
    <xf borderId="0" fillId="5" fontId="5" numFmtId="168" xfId="0" applyAlignment="1" applyFont="1" applyNumberFormat="1">
      <alignment horizontal="center" vertical="center"/>
    </xf>
    <xf borderId="0" fillId="4" fontId="5" numFmtId="0" xfId="0" applyAlignment="1" applyFont="1">
      <alignment horizontal="left" vertical="center"/>
    </xf>
    <xf borderId="0" fillId="4" fontId="5" numFmtId="3" xfId="0" applyAlignment="1" applyFont="1" applyNumberFormat="1">
      <alignment horizontal="center" readingOrder="0" vertical="center"/>
    </xf>
    <xf borderId="0" fillId="4" fontId="5" numFmtId="3" xfId="0" applyAlignment="1" applyFont="1" applyNumberFormat="1">
      <alignment horizontal="center" vertical="center"/>
    </xf>
    <xf borderId="0" fillId="4" fontId="5" numFmtId="0" xfId="0" applyAlignment="1" applyFont="1">
      <alignment horizontal="center" vertical="center"/>
    </xf>
    <xf borderId="0" fillId="4" fontId="5" numFmtId="167" xfId="0" applyAlignment="1" applyFont="1" applyNumberFormat="1">
      <alignment horizontal="center" vertical="center"/>
    </xf>
    <xf borderId="0" fillId="4" fontId="5" numFmtId="168" xfId="0" applyAlignment="1" applyFont="1" applyNumberFormat="1">
      <alignment horizontal="center" vertical="center"/>
    </xf>
    <xf borderId="2" fillId="6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2" fillId="6" fontId="8" numFmtId="0" xfId="0" applyAlignment="1" applyBorder="1" applyFont="1">
      <alignment horizontal="center" shrinkToFit="0" vertical="center" wrapText="1"/>
    </xf>
    <xf borderId="2" fillId="7" fontId="9" numFmtId="0" xfId="0" applyAlignment="1" applyBorder="1" applyFill="1" applyFont="1">
      <alignment horizontal="left" shrinkToFit="0" vertical="center" wrapText="1"/>
    </xf>
    <xf borderId="5" fillId="8" fontId="10" numFmtId="0" xfId="0" applyAlignment="1" applyBorder="1" applyFill="1" applyFont="1">
      <alignment horizontal="center" shrinkToFit="0" vertical="center" wrapText="1"/>
    </xf>
    <xf borderId="6" fillId="7" fontId="9" numFmtId="0" xfId="0" applyAlignment="1" applyBorder="1" applyFont="1">
      <alignment horizontal="left" shrinkToFit="0" vertical="center" wrapText="1"/>
    </xf>
    <xf borderId="5" fillId="8" fontId="10" numFmtId="164" xfId="0" applyAlignment="1" applyBorder="1" applyFont="1" applyNumberFormat="1">
      <alignment horizontal="center" shrinkToFit="0" vertical="center" wrapText="1"/>
    </xf>
    <xf borderId="5" fillId="8" fontId="10" numFmtId="165" xfId="0" applyAlignment="1" applyBorder="1" applyFont="1" applyNumberFormat="1">
      <alignment horizontal="center" shrinkToFit="0" vertical="center" wrapText="1"/>
    </xf>
    <xf borderId="0" fillId="0" fontId="11" numFmtId="0" xfId="0" applyFont="1"/>
    <xf borderId="7" fillId="6" fontId="1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9" fillId="0" fontId="7" numFmtId="0" xfId="0" applyBorder="1" applyFont="1"/>
    <xf borderId="5" fillId="6" fontId="1" numFmtId="0" xfId="0" applyAlignment="1" applyBorder="1" applyFont="1">
      <alignment horizontal="center" shrinkToFit="0" vertical="center" wrapText="1"/>
    </xf>
    <xf borderId="5" fillId="9" fontId="1" numFmtId="0" xfId="0" applyAlignment="1" applyBorder="1" applyFill="1" applyFont="1">
      <alignment horizontal="center" shrinkToFit="0" vertical="center" wrapText="1"/>
    </xf>
    <xf borderId="5" fillId="4" fontId="10" numFmtId="0" xfId="0" applyAlignment="1" applyBorder="1" applyFont="1">
      <alignment horizontal="left" shrinkToFit="0" vertical="center" wrapText="1"/>
    </xf>
    <xf borderId="5" fillId="4" fontId="12" numFmtId="0" xfId="0" applyAlignment="1" applyBorder="1" applyFont="1">
      <alignment horizontal="left" vertical="center"/>
    </xf>
    <xf borderId="5" fillId="4" fontId="12" numFmtId="0" xfId="0" applyAlignment="1" applyBorder="1" applyFont="1">
      <alignment horizontal="left" shrinkToFit="0" vertical="center" wrapText="1"/>
    </xf>
    <xf borderId="5" fillId="4" fontId="12" numFmtId="164" xfId="0" applyAlignment="1" applyBorder="1" applyFont="1" applyNumberFormat="1">
      <alignment horizontal="left" shrinkToFit="0" vertical="center" wrapText="1"/>
    </xf>
    <xf borderId="5" fillId="8" fontId="10" numFmtId="164" xfId="0" applyAlignment="1" applyBorder="1" applyFont="1" applyNumberFormat="1">
      <alignment horizontal="left" vertical="center"/>
    </xf>
    <xf borderId="5" fillId="10" fontId="10" numFmtId="0" xfId="0" applyAlignment="1" applyBorder="1" applyFill="1" applyFont="1">
      <alignment horizontal="left" shrinkToFit="0" vertical="center" wrapText="1"/>
    </xf>
    <xf borderId="5" fillId="10" fontId="12" numFmtId="0" xfId="0" applyAlignment="1" applyBorder="1" applyFont="1">
      <alignment horizontal="left" vertical="center"/>
    </xf>
    <xf borderId="5" fillId="10" fontId="12" numFmtId="0" xfId="0" applyAlignment="1" applyBorder="1" applyFont="1">
      <alignment horizontal="left" shrinkToFit="0" vertical="center" wrapText="1"/>
    </xf>
    <xf borderId="5" fillId="10" fontId="12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vertical="bottom"/>
    </xf>
    <xf borderId="7" fillId="11" fontId="1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5" fillId="11" fontId="1" numFmtId="0" xfId="0" applyAlignment="1" applyBorder="1" applyFont="1">
      <alignment horizontal="center" shrinkToFit="0" vertical="center" wrapText="1"/>
    </xf>
    <xf borderId="5" fillId="12" fontId="1" numFmtId="0" xfId="0" applyAlignment="1" applyBorder="1" applyFont="1">
      <alignment horizontal="center" shrinkToFit="0" vertical="center" wrapText="1"/>
    </xf>
    <xf borderId="5" fillId="7" fontId="13" numFmtId="0" xfId="0" applyAlignment="1" applyBorder="1" applyFont="1">
      <alignment horizontal="left" shrinkToFit="0" vertical="center" wrapText="1"/>
    </xf>
    <xf borderId="5" fillId="7" fontId="10" numFmtId="0" xfId="0" applyAlignment="1" applyBorder="1" applyFont="1">
      <alignment horizontal="left" shrinkToFit="0" vertical="center" wrapText="1"/>
    </xf>
    <xf borderId="5" fillId="4" fontId="12" numFmtId="1" xfId="0" applyAlignment="1" applyBorder="1" applyFont="1" applyNumberFormat="1">
      <alignment horizontal="left" shrinkToFit="0" vertical="center" wrapText="1"/>
    </xf>
    <xf borderId="5" fillId="4" fontId="12" numFmtId="165" xfId="0" applyAlignment="1" applyBorder="1" applyFont="1" applyNumberFormat="1">
      <alignment horizontal="left" shrinkToFit="0" vertical="center" wrapText="1"/>
    </xf>
    <xf borderId="5" fillId="7" fontId="10" numFmtId="165" xfId="0" applyAlignment="1" applyBorder="1" applyFont="1" applyNumberFormat="1">
      <alignment horizontal="left" shrinkToFit="0" vertical="center" wrapText="1"/>
    </xf>
    <xf borderId="5" fillId="10" fontId="12" numFmtId="1" xfId="0" applyAlignment="1" applyBorder="1" applyFont="1" applyNumberFormat="1">
      <alignment horizontal="left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5" fillId="13" fontId="1" numFmtId="0" xfId="0" applyAlignment="1" applyBorder="1" applyFill="1" applyFont="1">
      <alignment horizontal="center" shrinkToFit="0" vertical="center" wrapText="1"/>
    </xf>
    <xf borderId="5" fillId="4" fontId="10" numFmtId="169" xfId="0" applyAlignment="1" applyBorder="1" applyFont="1" applyNumberFormat="1">
      <alignment horizontal="left" shrinkToFit="0" vertical="center" wrapText="1"/>
    </xf>
    <xf borderId="0" fillId="0" fontId="11" numFmtId="164" xfId="0" applyFont="1" applyNumberFormat="1"/>
    <xf borderId="0" fillId="0" fontId="11" numFmtId="3" xfId="0" applyFont="1" applyNumberFormat="1"/>
    <xf borderId="5" fillId="10" fontId="12" numFmtId="164" xfId="0" applyAlignment="1" applyBorder="1" applyFont="1" applyNumberFormat="1">
      <alignment horizontal="left" readingOrder="0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7" fillId="13" fontId="1" numFmtId="0" xfId="0" applyAlignment="1" applyBorder="1" applyFont="1">
      <alignment horizontal="center" shrinkToFit="0" vertical="center" wrapText="1"/>
    </xf>
    <xf borderId="0" fillId="0" fontId="4" numFmtId="1" xfId="0" applyAlignment="1" applyFont="1" applyNumberFormat="1">
      <alignment vertical="bottom"/>
    </xf>
    <xf borderId="5" fillId="14" fontId="1" numFmtId="0" xfId="0" applyAlignment="1" applyBorder="1" applyFill="1" applyFont="1">
      <alignment horizontal="center" shrinkToFit="0" vertical="center" wrapText="1"/>
    </xf>
    <xf borderId="5" fillId="6" fontId="1" numFmtId="1" xfId="0" applyAlignment="1" applyBorder="1" applyFont="1" applyNumberFormat="1">
      <alignment horizontal="center" shrinkToFit="0" vertical="center" wrapText="1"/>
    </xf>
    <xf borderId="5" fillId="14" fontId="1" numFmtId="1" xfId="0" applyAlignment="1" applyBorder="1" applyFont="1" applyNumberFormat="1">
      <alignment horizontal="center" shrinkToFit="0" vertical="center" wrapText="1"/>
    </xf>
    <xf borderId="5" fillId="15" fontId="1" numFmtId="0" xfId="0" applyAlignment="1" applyBorder="1" applyFill="1" applyFont="1">
      <alignment horizontal="center" shrinkToFit="0" vertical="center" wrapText="1"/>
    </xf>
    <xf borderId="5" fillId="7" fontId="10" numFmtId="0" xfId="0" applyAlignment="1" applyBorder="1" applyFont="1">
      <alignment horizontal="left" vertical="center"/>
    </xf>
    <xf borderId="5" fillId="7" fontId="10" numFmtId="165" xfId="0" applyAlignment="1" applyBorder="1" applyFont="1" applyNumberFormat="1">
      <alignment horizontal="left" vertical="center"/>
    </xf>
    <xf borderId="5" fillId="8" fontId="10" numFmtId="164" xfId="0" applyAlignment="1" applyBorder="1" applyFont="1" applyNumberFormat="1">
      <alignment horizontal="left" shrinkToFit="0" vertical="center" wrapText="1"/>
    </xf>
    <xf borderId="5" fillId="7" fontId="10" numFmtId="1" xfId="0" applyAlignment="1" applyBorder="1" applyFont="1" applyNumberFormat="1">
      <alignment horizontal="left" vertical="center"/>
    </xf>
    <xf borderId="5" fillId="7" fontId="10" numFmtId="1" xfId="0" applyAlignment="1" applyBorder="1" applyFont="1" applyNumberFormat="1">
      <alignment horizontal="left" shrinkToFit="0" vertical="center" wrapText="1"/>
    </xf>
    <xf borderId="5" fillId="16" fontId="10" numFmtId="164" xfId="0" applyAlignment="1" applyBorder="1" applyFill="1" applyFont="1" applyNumberFormat="1">
      <alignment horizontal="left" vertical="center"/>
    </xf>
    <xf borderId="5" fillId="16" fontId="10" numFmtId="164" xfId="0" applyAlignment="1" applyBorder="1" applyFont="1" applyNumberFormat="1">
      <alignment horizontal="left" shrinkToFit="0" vertical="center" wrapText="1"/>
    </xf>
    <xf borderId="5" fillId="16" fontId="10" numFmtId="165" xfId="0" applyAlignment="1" applyBorder="1" applyFont="1" applyNumberFormat="1">
      <alignment horizontal="left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5" fillId="15" fontId="1" numFmtId="0" xfId="0" applyAlignment="1" applyBorder="1" applyFont="1">
      <alignment horizontal="center" readingOrder="0" shrinkToFit="0" vertical="center" wrapText="1"/>
    </xf>
    <xf borderId="5" fillId="7" fontId="9" numFmtId="0" xfId="0" applyAlignment="1" applyBorder="1" applyFont="1">
      <alignment horizontal="left" shrinkToFit="0" vertical="center" wrapText="1"/>
    </xf>
    <xf borderId="5" fillId="7" fontId="10" numFmtId="0" xfId="0" applyAlignment="1" applyBorder="1" applyFont="1">
      <alignment horizontal="center" shrinkToFit="0" vertical="center" wrapText="1"/>
    </xf>
    <xf borderId="5" fillId="7" fontId="10" numFmtId="164" xfId="0" applyAlignment="1" applyBorder="1" applyFont="1" applyNumberFormat="1">
      <alignment horizontal="center" shrinkToFit="0" vertical="center" wrapText="1"/>
    </xf>
    <xf borderId="5" fillId="16" fontId="10" numFmtId="164" xfId="0" applyAlignment="1" applyBorder="1" applyFont="1" applyNumberFormat="1">
      <alignment horizontal="center" shrinkToFit="0" vertical="center" wrapText="1"/>
    </xf>
    <xf borderId="5" fillId="16" fontId="10" numFmtId="165" xfId="0" applyAlignment="1" applyBorder="1" applyFont="1" applyNumberFormat="1">
      <alignment horizontal="center" shrinkToFit="0" vertical="center" wrapText="1"/>
    </xf>
    <xf borderId="5" fillId="7" fontId="10" numFmtId="170" xfId="0" applyAlignment="1" applyBorder="1" applyFont="1" applyNumberFormat="1">
      <alignment horizontal="center" shrinkToFit="0" vertical="center" wrapText="1"/>
    </xf>
    <xf borderId="5" fillId="7" fontId="10" numFmtId="1" xfId="0" applyAlignment="1" applyBorder="1" applyFont="1" applyNumberFormat="1">
      <alignment horizontal="center" vertical="center"/>
    </xf>
    <xf borderId="5" fillId="7" fontId="12" numFmtId="164" xfId="0" applyAlignment="1" applyBorder="1" applyFont="1" applyNumberFormat="1">
      <alignment horizontal="left" shrinkToFit="0" vertical="center" wrapText="1"/>
    </xf>
    <xf borderId="5" fillId="7" fontId="10" numFmtId="170" xfId="0" applyAlignment="1" applyBorder="1" applyFont="1" applyNumberFormat="1">
      <alignment horizontal="center" vertical="center"/>
    </xf>
    <xf borderId="5" fillId="4" fontId="9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5" fillId="4" fontId="10" numFmtId="164" xfId="0" applyAlignment="1" applyBorder="1" applyFont="1" applyNumberFormat="1">
      <alignment horizontal="center" shrinkToFit="0" vertical="center" wrapText="1"/>
    </xf>
    <xf borderId="5" fillId="4" fontId="10" numFmtId="170" xfId="0" applyAlignment="1" applyBorder="1" applyFont="1" applyNumberFormat="1">
      <alignment horizontal="center" shrinkToFit="0" vertical="center" wrapText="1"/>
    </xf>
    <xf borderId="5" fillId="4" fontId="10" numFmtId="1" xfId="0" applyAlignment="1" applyBorder="1" applyFont="1" applyNumberFormat="1">
      <alignment horizontal="center" vertical="center"/>
    </xf>
    <xf borderId="5" fillId="4" fontId="10" numFmtId="170" xfId="0" applyAlignment="1" applyBorder="1" applyFont="1" applyNumberFormat="1">
      <alignment horizontal="center" vertical="center"/>
    </xf>
    <xf borderId="5" fillId="7" fontId="9" numFmtId="0" xfId="0" applyAlignment="1" applyBorder="1" applyFont="1">
      <alignment horizontal="left" readingOrder="0" shrinkToFit="0" vertical="center" wrapText="1"/>
    </xf>
    <xf borderId="5" fillId="6" fontId="8" numFmtId="164" xfId="0" applyAlignment="1" applyBorder="1" applyFont="1" applyNumberFormat="1">
      <alignment horizontal="center" shrinkToFit="0" vertical="center" wrapText="1"/>
    </xf>
    <xf borderId="5" fillId="6" fontId="14" numFmtId="165" xfId="0" applyAlignment="1" applyBorder="1" applyFont="1" applyNumberFormat="1">
      <alignment horizontal="center" shrinkToFit="0" vertical="center" wrapText="1"/>
    </xf>
    <xf borderId="5" fillId="6" fontId="8" numFmtId="170" xfId="0" applyAlignment="1" applyBorder="1" applyFont="1" applyNumberFormat="1">
      <alignment horizontal="center" shrinkToFit="0" vertical="center" wrapText="1"/>
    </xf>
    <xf borderId="5" fillId="6" fontId="8" numFmtId="1" xfId="0" applyAlignment="1" applyBorder="1" applyFont="1" applyNumberFormat="1">
      <alignment horizontal="center" vertical="center"/>
    </xf>
    <xf borderId="5" fillId="6" fontId="8" numFmtId="170" xfId="0" applyAlignment="1" applyBorder="1" applyFont="1" applyNumberFormat="1">
      <alignment horizontal="center" vertical="center"/>
    </xf>
    <xf borderId="0" fillId="0" fontId="1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28.0"/>
    <col customWidth="1" min="4" max="4" width="10.0"/>
    <col customWidth="1" min="5" max="5" width="14.0"/>
    <col customWidth="1" min="6" max="6" width="8.0"/>
    <col customWidth="1" min="7" max="8" width="20.0"/>
    <col customWidth="1" min="9" max="9" width="21.0"/>
    <col customWidth="1" min="10" max="10" width="15.0"/>
    <col customWidth="1" min="11" max="11" width="16.0"/>
    <col customWidth="1" min="12" max="12" width="13.0"/>
    <col customWidth="1" min="13" max="13" width="12.0"/>
    <col customWidth="1" min="14" max="14" width="18.0"/>
    <col customWidth="1" min="15" max="15" width="16.0"/>
    <col customWidth="1" min="16" max="17" width="18.0"/>
    <col customWidth="1" min="18" max="18" width="14.0"/>
    <col customWidth="1" min="19" max="19" width="13.0"/>
    <col customWidth="1" min="20" max="20" width="16.0"/>
    <col customWidth="1" min="21" max="21" width="13.0"/>
    <col customWidth="1" min="22" max="22" width="14.0"/>
    <col customWidth="1" min="23" max="23" width="16.0"/>
    <col customWidth="1" min="24" max="24" width="13.0"/>
    <col customWidth="1" min="25" max="25" width="12.0"/>
    <col customWidth="1" min="26" max="26" width="17.0"/>
    <col customWidth="1" min="27" max="28" width="16.0"/>
    <col customWidth="1" min="29" max="29" width="17.0"/>
    <col customWidth="1" min="30" max="30" width="15.0"/>
    <col customWidth="1" min="31" max="31" width="17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</row>
    <row r="2" ht="15.0" customHeight="1">
      <c r="A2" s="3" t="s">
        <v>31</v>
      </c>
      <c r="B2" s="3" t="s">
        <v>32</v>
      </c>
      <c r="C2" s="4" t="s">
        <v>33</v>
      </c>
      <c r="D2" s="4" t="s">
        <v>34</v>
      </c>
      <c r="E2" s="5">
        <v>20.0</v>
      </c>
      <c r="F2" s="6">
        <v>17.39</v>
      </c>
      <c r="G2" s="6">
        <v>10.0</v>
      </c>
      <c r="H2" s="6">
        <v>3.0</v>
      </c>
      <c r="I2" s="6">
        <v>607.8</v>
      </c>
      <c r="J2" s="7">
        <v>0.4864667154</v>
      </c>
      <c r="K2" s="7">
        <v>0.3416239941</v>
      </c>
      <c r="L2" s="7">
        <v>0.1148500366</v>
      </c>
      <c r="M2" s="7">
        <v>0.05705925384</v>
      </c>
      <c r="N2" s="4" t="s">
        <v>35</v>
      </c>
      <c r="O2" s="6">
        <v>1250.0</v>
      </c>
      <c r="P2" s="6">
        <v>155.0</v>
      </c>
      <c r="Q2" s="6">
        <v>70.0</v>
      </c>
      <c r="R2" s="6">
        <v>35.0</v>
      </c>
      <c r="S2" s="6">
        <v>17.39</v>
      </c>
      <c r="T2" s="4" t="s">
        <v>36</v>
      </c>
      <c r="U2" s="8">
        <v>46185.0</v>
      </c>
      <c r="V2" s="5">
        <v>9.0</v>
      </c>
      <c r="W2" s="5">
        <v>6.0</v>
      </c>
      <c r="X2" s="5">
        <v>3.0</v>
      </c>
      <c r="Y2" s="5">
        <v>2.0</v>
      </c>
      <c r="Z2" s="5">
        <v>7.0</v>
      </c>
      <c r="AA2" s="5">
        <v>2.0</v>
      </c>
      <c r="AB2" s="6">
        <v>1954.78</v>
      </c>
      <c r="AC2" s="6">
        <v>1346.98</v>
      </c>
      <c r="AD2" s="6">
        <v>67.349</v>
      </c>
      <c r="AE2" s="6">
        <v>869.78</v>
      </c>
    </row>
    <row r="3" ht="15.0" customHeight="1">
      <c r="A3" s="9" t="s">
        <v>37</v>
      </c>
      <c r="B3" s="9" t="s">
        <v>38</v>
      </c>
      <c r="C3" s="10" t="s">
        <v>33</v>
      </c>
      <c r="D3" s="10" t="s">
        <v>34</v>
      </c>
      <c r="E3" s="11">
        <v>20.0</v>
      </c>
      <c r="F3" s="12">
        <v>17.39</v>
      </c>
      <c r="G3" s="12">
        <v>10.0</v>
      </c>
      <c r="H3" s="12">
        <v>3.0</v>
      </c>
      <c r="I3" s="12">
        <v>607.8</v>
      </c>
      <c r="J3" s="13">
        <v>0.4070484581</v>
      </c>
      <c r="K3" s="13">
        <v>0.4325991189</v>
      </c>
      <c r="L3" s="13">
        <v>0.1251101322</v>
      </c>
      <c r="M3" s="13">
        <v>0.03524229075</v>
      </c>
      <c r="N3" s="10" t="s">
        <v>35</v>
      </c>
      <c r="O3" s="12">
        <v>1250.0</v>
      </c>
      <c r="P3" s="12">
        <v>90.0</v>
      </c>
      <c r="Q3" s="12">
        <v>54.0</v>
      </c>
      <c r="R3" s="12">
        <v>30.0</v>
      </c>
      <c r="S3" s="12">
        <v>17.39</v>
      </c>
      <c r="T3" s="10" t="s">
        <v>36</v>
      </c>
      <c r="U3" s="14">
        <v>46185.0</v>
      </c>
      <c r="V3" s="11">
        <v>8.0</v>
      </c>
      <c r="W3" s="11">
        <v>8.0</v>
      </c>
      <c r="X3" s="11">
        <v>3.0</v>
      </c>
      <c r="Y3" s="11">
        <v>1.0</v>
      </c>
      <c r="Z3" s="11">
        <v>7.0</v>
      </c>
      <c r="AA3" s="11">
        <v>1.0</v>
      </c>
      <c r="AB3" s="12">
        <v>1259.39</v>
      </c>
      <c r="AC3" s="12">
        <v>651.59</v>
      </c>
      <c r="AD3" s="12">
        <v>32.5795</v>
      </c>
      <c r="AE3" s="12">
        <v>629.39</v>
      </c>
    </row>
    <row r="4" ht="15.0" customHeight="1">
      <c r="A4" s="3" t="s">
        <v>39</v>
      </c>
      <c r="B4" s="3" t="s">
        <v>40</v>
      </c>
      <c r="C4" s="4" t="s">
        <v>33</v>
      </c>
      <c r="D4" s="4" t="s">
        <v>34</v>
      </c>
      <c r="E4" s="5">
        <v>20.0</v>
      </c>
      <c r="F4" s="6">
        <v>17.39</v>
      </c>
      <c r="G4" s="6">
        <v>10.0</v>
      </c>
      <c r="H4" s="6">
        <v>3.0</v>
      </c>
      <c r="I4" s="6">
        <v>607.8</v>
      </c>
      <c r="J4" s="7">
        <v>0.5860688551</v>
      </c>
      <c r="K4" s="7">
        <v>0.2866293034</v>
      </c>
      <c r="L4" s="7">
        <v>0.0904723779</v>
      </c>
      <c r="M4" s="7">
        <v>0.03682946357</v>
      </c>
      <c r="N4" s="4" t="s">
        <v>35</v>
      </c>
      <c r="O4" s="6">
        <v>1250.0</v>
      </c>
      <c r="P4" s="6">
        <v>100.0</v>
      </c>
      <c r="Q4" s="6">
        <v>40.0</v>
      </c>
      <c r="R4" s="6">
        <v>30.0</v>
      </c>
      <c r="S4" s="6">
        <v>17.39</v>
      </c>
      <c r="T4" s="4" t="s">
        <v>36</v>
      </c>
      <c r="U4" s="8">
        <v>46185.0</v>
      </c>
      <c r="V4" s="5">
        <v>11.0</v>
      </c>
      <c r="W4" s="5">
        <v>5.0</v>
      </c>
      <c r="X4" s="5">
        <v>2.0</v>
      </c>
      <c r="Y4" s="5">
        <v>1.0</v>
      </c>
      <c r="Z4" s="5">
        <v>7.0</v>
      </c>
      <c r="AA4" s="5">
        <v>4.0</v>
      </c>
      <c r="AB4" s="6">
        <v>1377.39</v>
      </c>
      <c r="AC4" s="6">
        <v>769.59</v>
      </c>
      <c r="AD4" s="6">
        <v>38.4795</v>
      </c>
      <c r="AE4" s="6">
        <v>677.39</v>
      </c>
    </row>
    <row r="5" ht="15.0" customHeight="1">
      <c r="A5" s="9" t="s">
        <v>41</v>
      </c>
      <c r="B5" s="9" t="s">
        <v>42</v>
      </c>
      <c r="C5" s="10" t="s">
        <v>33</v>
      </c>
      <c r="D5" s="10" t="s">
        <v>34</v>
      </c>
      <c r="E5" s="11">
        <v>20.0</v>
      </c>
      <c r="F5" s="12">
        <v>17.39</v>
      </c>
      <c r="G5" s="12">
        <v>10.0</v>
      </c>
      <c r="H5" s="12">
        <v>3.0</v>
      </c>
      <c r="I5" s="12">
        <v>607.8</v>
      </c>
      <c r="J5" s="13">
        <v>0.6090497738</v>
      </c>
      <c r="K5" s="13">
        <v>0.2714932127</v>
      </c>
      <c r="L5" s="13">
        <v>0.08778280543</v>
      </c>
      <c r="M5" s="13">
        <v>0.03167420814</v>
      </c>
      <c r="N5" s="10" t="s">
        <v>35</v>
      </c>
      <c r="O5" s="12">
        <v>1250.0</v>
      </c>
      <c r="P5" s="12">
        <v>90.0</v>
      </c>
      <c r="Q5" s="12">
        <v>30.0</v>
      </c>
      <c r="R5" s="12">
        <v>20.0</v>
      </c>
      <c r="S5" s="12">
        <v>17.39</v>
      </c>
      <c r="T5" s="10" t="s">
        <v>36</v>
      </c>
      <c r="U5" s="14">
        <v>46185.0</v>
      </c>
      <c r="V5" s="11">
        <v>12.0</v>
      </c>
      <c r="W5" s="11">
        <v>5.0</v>
      </c>
      <c r="X5" s="11">
        <v>2.0</v>
      </c>
      <c r="Y5" s="11">
        <v>1.0</v>
      </c>
      <c r="Z5" s="11">
        <v>7.0</v>
      </c>
      <c r="AA5" s="11">
        <v>5.0</v>
      </c>
      <c r="AB5" s="12">
        <v>1287.39</v>
      </c>
      <c r="AC5" s="12">
        <v>679.59</v>
      </c>
      <c r="AD5" s="12">
        <v>33.9795</v>
      </c>
      <c r="AE5" s="12">
        <v>657.39</v>
      </c>
    </row>
    <row r="6" ht="15.0" customHeight="1">
      <c r="A6" s="3" t="s">
        <v>43</v>
      </c>
      <c r="B6" s="3" t="s">
        <v>44</v>
      </c>
      <c r="C6" s="4" t="s">
        <v>33</v>
      </c>
      <c r="D6" s="4" t="s">
        <v>34</v>
      </c>
      <c r="E6" s="5">
        <v>20.0</v>
      </c>
      <c r="F6" s="6">
        <v>17.39</v>
      </c>
      <c r="G6" s="6">
        <v>10.0</v>
      </c>
      <c r="H6" s="6">
        <v>3.0</v>
      </c>
      <c r="I6" s="6">
        <v>607.8</v>
      </c>
      <c r="J6" s="7">
        <v>0.5785123967</v>
      </c>
      <c r="K6" s="7">
        <v>0.2571166208</v>
      </c>
      <c r="L6" s="7">
        <v>0.09641873278</v>
      </c>
      <c r="M6" s="7">
        <v>0.06795224977</v>
      </c>
      <c r="N6" s="4" t="s">
        <v>35</v>
      </c>
      <c r="O6" s="6">
        <v>1250.0</v>
      </c>
      <c r="P6" s="6">
        <v>120.0</v>
      </c>
      <c r="Q6" s="6">
        <v>60.0</v>
      </c>
      <c r="R6" s="6">
        <v>27.0</v>
      </c>
      <c r="S6" s="6">
        <v>17.39</v>
      </c>
      <c r="T6" s="4" t="s">
        <v>36</v>
      </c>
      <c r="U6" s="8">
        <v>46185.0</v>
      </c>
      <c r="V6" s="5">
        <v>11.0</v>
      </c>
      <c r="W6" s="5">
        <v>5.0</v>
      </c>
      <c r="X6" s="5">
        <v>2.0</v>
      </c>
      <c r="Y6" s="5">
        <v>2.0</v>
      </c>
      <c r="Z6" s="5">
        <v>7.0</v>
      </c>
      <c r="AA6" s="5">
        <v>4.0</v>
      </c>
      <c r="AB6" s="6">
        <v>1708.78</v>
      </c>
      <c r="AC6" s="6">
        <v>1100.98</v>
      </c>
      <c r="AD6" s="6">
        <v>55.049</v>
      </c>
      <c r="AE6" s="6">
        <v>868.78</v>
      </c>
    </row>
    <row r="7" ht="15.0" customHeight="1">
      <c r="A7" s="9" t="s">
        <v>45</v>
      </c>
      <c r="B7" s="9" t="s">
        <v>46</v>
      </c>
      <c r="C7" s="10" t="s">
        <v>33</v>
      </c>
      <c r="D7" s="10" t="s">
        <v>34</v>
      </c>
      <c r="E7" s="11">
        <v>20.0</v>
      </c>
      <c r="F7" s="12">
        <v>17.39</v>
      </c>
      <c r="G7" s="12">
        <v>10.0</v>
      </c>
      <c r="H7" s="12">
        <v>3.0</v>
      </c>
      <c r="I7" s="12">
        <v>607.8</v>
      </c>
      <c r="J7" s="13">
        <v>0.630952381</v>
      </c>
      <c r="K7" s="13">
        <v>0.2586580087</v>
      </c>
      <c r="L7" s="13">
        <v>0.07142857143</v>
      </c>
      <c r="M7" s="13">
        <v>0.03896103896</v>
      </c>
      <c r="N7" s="10" t="s">
        <v>35</v>
      </c>
      <c r="O7" s="12">
        <v>1250.0</v>
      </c>
      <c r="P7" s="12">
        <v>60.0</v>
      </c>
      <c r="Q7" s="12">
        <v>30.0</v>
      </c>
      <c r="R7" s="12">
        <v>20.0</v>
      </c>
      <c r="S7" s="12">
        <v>17.39</v>
      </c>
      <c r="T7" s="10" t="s">
        <v>36</v>
      </c>
      <c r="U7" s="14">
        <v>46185.0</v>
      </c>
      <c r="V7" s="11">
        <v>12.0</v>
      </c>
      <c r="W7" s="11">
        <v>5.0</v>
      </c>
      <c r="X7" s="11">
        <v>2.0</v>
      </c>
      <c r="Y7" s="11">
        <v>1.0</v>
      </c>
      <c r="Z7" s="11">
        <v>7.0</v>
      </c>
      <c r="AA7" s="11">
        <v>5.0</v>
      </c>
      <c r="AB7" s="12">
        <v>927.39</v>
      </c>
      <c r="AC7" s="12">
        <v>319.59</v>
      </c>
      <c r="AD7" s="12">
        <v>15.9795</v>
      </c>
      <c r="AE7" s="12">
        <v>507.39</v>
      </c>
    </row>
    <row r="8" ht="15.0" customHeight="1">
      <c r="A8" s="3" t="s">
        <v>47</v>
      </c>
      <c r="B8" s="3" t="s">
        <v>48</v>
      </c>
      <c r="C8" s="4" t="s">
        <v>33</v>
      </c>
      <c r="D8" s="4" t="s">
        <v>34</v>
      </c>
      <c r="E8" s="5">
        <v>20.0</v>
      </c>
      <c r="F8" s="6">
        <v>17.39</v>
      </c>
      <c r="G8" s="6">
        <v>10.0</v>
      </c>
      <c r="H8" s="6">
        <v>3.0</v>
      </c>
      <c r="I8" s="6">
        <v>607.8</v>
      </c>
      <c r="J8" s="7">
        <v>0.3855072464</v>
      </c>
      <c r="K8" s="7">
        <v>0.3594202899</v>
      </c>
      <c r="L8" s="7">
        <v>0.1304347826</v>
      </c>
      <c r="M8" s="7">
        <v>0.1246376812</v>
      </c>
      <c r="N8" s="4" t="s">
        <v>35</v>
      </c>
      <c r="O8" s="6">
        <v>1250.0</v>
      </c>
      <c r="P8" s="6">
        <v>60.0</v>
      </c>
      <c r="Q8" s="6">
        <v>25.0</v>
      </c>
      <c r="R8" s="6">
        <v>20.0</v>
      </c>
      <c r="S8" s="6">
        <v>17.39</v>
      </c>
      <c r="T8" s="4" t="s">
        <v>36</v>
      </c>
      <c r="U8" s="8">
        <v>46185.0</v>
      </c>
      <c r="V8" s="5">
        <v>7.0</v>
      </c>
      <c r="W8" s="5">
        <v>7.0</v>
      </c>
      <c r="X8" s="5">
        <v>3.0</v>
      </c>
      <c r="Y8" s="5">
        <v>3.0</v>
      </c>
      <c r="Z8" s="5">
        <v>7.0</v>
      </c>
      <c r="AA8" s="5">
        <v>0.0</v>
      </c>
      <c r="AB8" s="6">
        <v>707.17</v>
      </c>
      <c r="AC8" s="6">
        <v>99.37</v>
      </c>
      <c r="AD8" s="6">
        <v>4.9685</v>
      </c>
      <c r="AE8" s="6">
        <v>287.17</v>
      </c>
    </row>
    <row r="9" ht="15.0" customHeight="1">
      <c r="A9" s="9" t="s">
        <v>49</v>
      </c>
      <c r="B9" s="9" t="s">
        <v>50</v>
      </c>
      <c r="C9" s="10" t="s">
        <v>33</v>
      </c>
      <c r="D9" s="10" t="s">
        <v>34</v>
      </c>
      <c r="E9" s="11">
        <v>20.0</v>
      </c>
      <c r="F9" s="12">
        <v>17.39</v>
      </c>
      <c r="G9" s="12">
        <v>10.0</v>
      </c>
      <c r="H9" s="12">
        <v>3.0</v>
      </c>
      <c r="I9" s="12">
        <v>607.8</v>
      </c>
      <c r="J9" s="13">
        <v>0.5133614627</v>
      </c>
      <c r="K9" s="13">
        <v>0.3319268636</v>
      </c>
      <c r="L9" s="13">
        <v>0.1026722925</v>
      </c>
      <c r="M9" s="13">
        <v>0.05203938115</v>
      </c>
      <c r="N9" s="10" t="s">
        <v>35</v>
      </c>
      <c r="O9" s="12">
        <v>1250.0</v>
      </c>
      <c r="P9" s="12">
        <v>65.0</v>
      </c>
      <c r="Q9" s="12">
        <v>30.0</v>
      </c>
      <c r="R9" s="12">
        <v>20.0</v>
      </c>
      <c r="S9" s="12">
        <v>17.39</v>
      </c>
      <c r="T9" s="10" t="s">
        <v>36</v>
      </c>
      <c r="U9" s="14">
        <v>46185.0</v>
      </c>
      <c r="V9" s="11">
        <v>10.0</v>
      </c>
      <c r="W9" s="11">
        <v>6.0</v>
      </c>
      <c r="X9" s="11">
        <v>3.0</v>
      </c>
      <c r="Y9" s="11">
        <v>2.0</v>
      </c>
      <c r="Z9" s="11">
        <v>7.0</v>
      </c>
      <c r="AA9" s="11">
        <v>3.0</v>
      </c>
      <c r="AB9" s="12">
        <v>924.78</v>
      </c>
      <c r="AC9" s="12">
        <v>316.98</v>
      </c>
      <c r="AD9" s="12">
        <v>15.849</v>
      </c>
      <c r="AE9" s="12">
        <v>469.78</v>
      </c>
    </row>
    <row r="10" ht="15.0" customHeight="1">
      <c r="A10" s="3" t="s">
        <v>51</v>
      </c>
      <c r="B10" s="3" t="s">
        <v>52</v>
      </c>
      <c r="C10" s="4" t="s">
        <v>33</v>
      </c>
      <c r="D10" s="4" t="s">
        <v>34</v>
      </c>
      <c r="E10" s="5">
        <v>20.0</v>
      </c>
      <c r="F10" s="6">
        <v>17.39</v>
      </c>
      <c r="G10" s="6">
        <v>10.0</v>
      </c>
      <c r="H10" s="6">
        <v>3.0</v>
      </c>
      <c r="I10" s="6">
        <v>607.8</v>
      </c>
      <c r="J10" s="7">
        <v>0.5114006515</v>
      </c>
      <c r="K10" s="7">
        <v>0.348534202</v>
      </c>
      <c r="L10" s="7">
        <v>0.1009771987</v>
      </c>
      <c r="M10" s="7">
        <v>0.03908794788</v>
      </c>
      <c r="N10" s="4" t="s">
        <v>35</v>
      </c>
      <c r="O10" s="6">
        <v>1250.0</v>
      </c>
      <c r="P10" s="6">
        <v>40.0</v>
      </c>
      <c r="Q10" s="6">
        <v>20.0</v>
      </c>
      <c r="R10" s="6">
        <v>20.0</v>
      </c>
      <c r="S10" s="6">
        <v>17.39</v>
      </c>
      <c r="T10" s="4" t="s">
        <v>36</v>
      </c>
      <c r="U10" s="8">
        <v>46185.0</v>
      </c>
      <c r="V10" s="5">
        <v>10.0</v>
      </c>
      <c r="W10" s="5">
        <v>6.0</v>
      </c>
      <c r="X10" s="5">
        <v>3.0</v>
      </c>
      <c r="Y10" s="5">
        <v>1.0</v>
      </c>
      <c r="Z10" s="5">
        <v>7.0</v>
      </c>
      <c r="AA10" s="5">
        <v>3.0</v>
      </c>
      <c r="AB10" s="6">
        <v>597.39</v>
      </c>
      <c r="AC10" s="6">
        <v>-10.41</v>
      </c>
      <c r="AD10" s="6">
        <v>-0.5205</v>
      </c>
      <c r="AE10" s="6">
        <v>317.39</v>
      </c>
    </row>
    <row r="11" ht="15.0" customHeight="1">
      <c r="A11" s="9" t="s">
        <v>53</v>
      </c>
      <c r="B11" s="9" t="s">
        <v>54</v>
      </c>
      <c r="C11" s="10" t="s">
        <v>33</v>
      </c>
      <c r="D11" s="10" t="s">
        <v>34</v>
      </c>
      <c r="E11" s="11">
        <v>20.0</v>
      </c>
      <c r="F11" s="12">
        <v>17.39</v>
      </c>
      <c r="G11" s="12">
        <v>10.0</v>
      </c>
      <c r="H11" s="12">
        <v>3.0</v>
      </c>
      <c r="I11" s="12">
        <v>607.8</v>
      </c>
      <c r="J11" s="13">
        <v>0.5158227848</v>
      </c>
      <c r="K11" s="13">
        <v>0.3196202532</v>
      </c>
      <c r="L11" s="13">
        <v>0.1155063291</v>
      </c>
      <c r="M11" s="13">
        <v>0.04905063291</v>
      </c>
      <c r="N11" s="10" t="s">
        <v>35</v>
      </c>
      <c r="O11" s="12">
        <v>1250.0</v>
      </c>
      <c r="P11" s="12">
        <v>40.0</v>
      </c>
      <c r="Q11" s="12">
        <v>22.0</v>
      </c>
      <c r="R11" s="12">
        <v>20.0</v>
      </c>
      <c r="S11" s="12">
        <v>17.39</v>
      </c>
      <c r="T11" s="10" t="s">
        <v>36</v>
      </c>
      <c r="U11" s="14">
        <v>46185.0</v>
      </c>
      <c r="V11" s="11">
        <v>10.0</v>
      </c>
      <c r="W11" s="11">
        <v>6.0</v>
      </c>
      <c r="X11" s="11">
        <v>3.0</v>
      </c>
      <c r="Y11" s="11">
        <v>1.0</v>
      </c>
      <c r="Z11" s="11">
        <v>7.0</v>
      </c>
      <c r="AA11" s="11">
        <v>3.0</v>
      </c>
      <c r="AB11" s="12">
        <v>609.39</v>
      </c>
      <c r="AC11" s="12">
        <v>1.59</v>
      </c>
      <c r="AD11" s="12">
        <v>0.0795</v>
      </c>
      <c r="AE11" s="12">
        <v>329.39</v>
      </c>
    </row>
    <row r="12" ht="15.0" customHeight="1">
      <c r="A12" s="3" t="s">
        <v>55</v>
      </c>
      <c r="B12" s="3" t="s">
        <v>32</v>
      </c>
      <c r="C12" s="4" t="s">
        <v>56</v>
      </c>
      <c r="D12" s="4" t="s">
        <v>34</v>
      </c>
      <c r="E12" s="5">
        <v>50.0</v>
      </c>
      <c r="F12" s="6">
        <v>19.97</v>
      </c>
      <c r="G12" s="6">
        <v>10.0</v>
      </c>
      <c r="H12" s="6">
        <v>3.0</v>
      </c>
      <c r="I12" s="6">
        <v>1648.5</v>
      </c>
      <c r="J12" s="7">
        <v>0.6726618705</v>
      </c>
      <c r="K12" s="7">
        <v>0.2589928058</v>
      </c>
      <c r="L12" s="7">
        <v>0.04676258993</v>
      </c>
      <c r="M12" s="7">
        <v>0.02158273381</v>
      </c>
      <c r="N12" s="4" t="s">
        <v>35</v>
      </c>
      <c r="O12" s="6">
        <v>610.0</v>
      </c>
      <c r="P12" s="6">
        <v>160.0</v>
      </c>
      <c r="Q12" s="6">
        <v>120.0</v>
      </c>
      <c r="R12" s="6">
        <v>20.0</v>
      </c>
      <c r="S12" s="6">
        <v>19.97</v>
      </c>
      <c r="T12" s="4" t="s">
        <v>36</v>
      </c>
      <c r="U12" s="8">
        <v>46185.0</v>
      </c>
      <c r="V12" s="5">
        <v>33.0</v>
      </c>
      <c r="W12" s="5">
        <v>12.0</v>
      </c>
      <c r="X12" s="5">
        <v>3.0</v>
      </c>
      <c r="Y12" s="5">
        <v>2.0</v>
      </c>
      <c r="Z12" s="5">
        <v>33.0</v>
      </c>
      <c r="AA12" s="5">
        <v>0.0</v>
      </c>
      <c r="AB12" s="6">
        <v>6819.94</v>
      </c>
      <c r="AC12" s="6">
        <v>5171.44</v>
      </c>
      <c r="AD12" s="6">
        <v>103.4288</v>
      </c>
      <c r="AE12" s="6">
        <v>1539.94</v>
      </c>
    </row>
    <row r="13" ht="15.0" customHeight="1">
      <c r="A13" s="9" t="s">
        <v>57</v>
      </c>
      <c r="B13" s="9" t="s">
        <v>44</v>
      </c>
      <c r="C13" s="10" t="s">
        <v>56</v>
      </c>
      <c r="D13" s="10" t="s">
        <v>34</v>
      </c>
      <c r="E13" s="11">
        <v>50.0</v>
      </c>
      <c r="F13" s="12">
        <v>19.97</v>
      </c>
      <c r="G13" s="12">
        <v>10.0</v>
      </c>
      <c r="H13" s="12">
        <v>3.0</v>
      </c>
      <c r="I13" s="12">
        <v>1648.5</v>
      </c>
      <c r="J13" s="13">
        <v>0.7120211361</v>
      </c>
      <c r="K13" s="13">
        <v>0.2113606341</v>
      </c>
      <c r="L13" s="13">
        <v>0.05812417437</v>
      </c>
      <c r="M13" s="13">
        <v>0.01849405548</v>
      </c>
      <c r="N13" s="10" t="s">
        <v>35</v>
      </c>
      <c r="O13" s="12">
        <v>610.0</v>
      </c>
      <c r="P13" s="12">
        <v>96.0</v>
      </c>
      <c r="Q13" s="12">
        <v>45.0</v>
      </c>
      <c r="R13" s="12">
        <v>20.0</v>
      </c>
      <c r="S13" s="12">
        <v>19.97</v>
      </c>
      <c r="T13" s="10" t="s">
        <v>36</v>
      </c>
      <c r="U13" s="14">
        <v>46185.0</v>
      </c>
      <c r="V13" s="11">
        <v>35.0</v>
      </c>
      <c r="W13" s="11">
        <v>10.0</v>
      </c>
      <c r="X13" s="11">
        <v>3.0</v>
      </c>
      <c r="Y13" s="11">
        <v>1.0</v>
      </c>
      <c r="Z13" s="11">
        <v>33.0</v>
      </c>
      <c r="AA13" s="11">
        <v>2.0</v>
      </c>
      <c r="AB13" s="12">
        <v>3889.97</v>
      </c>
      <c r="AC13" s="12">
        <v>2241.47</v>
      </c>
      <c r="AD13" s="12">
        <v>44.8294</v>
      </c>
      <c r="AE13" s="12">
        <v>721.97</v>
      </c>
    </row>
    <row r="14" ht="15.0" customHeight="1">
      <c r="A14" s="3" t="s">
        <v>58</v>
      </c>
      <c r="B14" s="3" t="s">
        <v>59</v>
      </c>
      <c r="C14" s="4" t="s">
        <v>56</v>
      </c>
      <c r="D14" s="4" t="s">
        <v>34</v>
      </c>
      <c r="E14" s="5">
        <v>50.0</v>
      </c>
      <c r="F14" s="6">
        <v>19.97</v>
      </c>
      <c r="G14" s="6">
        <v>10.0</v>
      </c>
      <c r="H14" s="6">
        <v>3.0</v>
      </c>
      <c r="I14" s="6">
        <v>1648.5</v>
      </c>
      <c r="J14" s="7">
        <v>0.7705570292</v>
      </c>
      <c r="K14" s="7">
        <v>0.1777188329</v>
      </c>
      <c r="L14" s="7">
        <v>0.03978779841</v>
      </c>
      <c r="M14" s="7">
        <v>0.01193633952</v>
      </c>
      <c r="N14" s="4" t="s">
        <v>35</v>
      </c>
      <c r="O14" s="6">
        <v>610.0</v>
      </c>
      <c r="P14" s="6">
        <v>65.0</v>
      </c>
      <c r="Q14" s="6">
        <v>50.0</v>
      </c>
      <c r="R14" s="6">
        <v>20.0</v>
      </c>
      <c r="S14" s="6">
        <v>19.97</v>
      </c>
      <c r="T14" s="4" t="s">
        <v>36</v>
      </c>
      <c r="U14" s="8">
        <v>46185.0</v>
      </c>
      <c r="V14" s="5">
        <v>38.0</v>
      </c>
      <c r="W14" s="5">
        <v>8.0</v>
      </c>
      <c r="X14" s="5">
        <v>2.0</v>
      </c>
      <c r="Y14" s="5">
        <v>1.0</v>
      </c>
      <c r="Z14" s="5">
        <v>33.0</v>
      </c>
      <c r="AA14" s="5">
        <v>5.0</v>
      </c>
      <c r="AB14" s="6">
        <v>2929.97</v>
      </c>
      <c r="AC14" s="6">
        <v>1281.47</v>
      </c>
      <c r="AD14" s="6">
        <v>25.6294</v>
      </c>
      <c r="AE14" s="6">
        <v>784.97</v>
      </c>
    </row>
    <row r="15" ht="15.0" customHeight="1">
      <c r="A15" s="9" t="s">
        <v>60</v>
      </c>
      <c r="B15" s="9" t="s">
        <v>54</v>
      </c>
      <c r="C15" s="10" t="s">
        <v>56</v>
      </c>
      <c r="D15" s="10" t="s">
        <v>34</v>
      </c>
      <c r="E15" s="11">
        <v>50.0</v>
      </c>
      <c r="F15" s="12">
        <v>19.97</v>
      </c>
      <c r="G15" s="12">
        <v>10.0</v>
      </c>
      <c r="H15" s="12">
        <v>3.0</v>
      </c>
      <c r="I15" s="12">
        <v>1648.5</v>
      </c>
      <c r="J15" s="13">
        <v>0.772327044</v>
      </c>
      <c r="K15" s="13">
        <v>0.1597484277</v>
      </c>
      <c r="L15" s="13">
        <v>0.05660377358</v>
      </c>
      <c r="M15" s="13">
        <v>0.01132075472</v>
      </c>
      <c r="N15" s="10" t="s">
        <v>35</v>
      </c>
      <c r="O15" s="12">
        <v>610.0</v>
      </c>
      <c r="P15" s="12">
        <v>69.0</v>
      </c>
      <c r="Q15" s="12">
        <v>40.0</v>
      </c>
      <c r="R15" s="12">
        <v>20.0</v>
      </c>
      <c r="S15" s="12">
        <v>19.97</v>
      </c>
      <c r="T15" s="10" t="s">
        <v>36</v>
      </c>
      <c r="U15" s="14">
        <v>46185.0</v>
      </c>
      <c r="V15" s="11">
        <v>38.0</v>
      </c>
      <c r="W15" s="11">
        <v>7.0</v>
      </c>
      <c r="X15" s="11">
        <v>3.0</v>
      </c>
      <c r="Y15" s="11">
        <v>1.0</v>
      </c>
      <c r="Z15" s="11">
        <v>33.0</v>
      </c>
      <c r="AA15" s="11">
        <v>5.0</v>
      </c>
      <c r="AB15" s="12">
        <v>2981.97</v>
      </c>
      <c r="AC15" s="12">
        <v>1333.47</v>
      </c>
      <c r="AD15" s="12">
        <v>26.6694</v>
      </c>
      <c r="AE15" s="12">
        <v>704.97</v>
      </c>
    </row>
    <row r="16" ht="15.0" customHeight="1">
      <c r="A16" s="3" t="s">
        <v>61</v>
      </c>
      <c r="B16" s="3" t="s">
        <v>62</v>
      </c>
      <c r="C16" s="4" t="s">
        <v>56</v>
      </c>
      <c r="D16" s="4" t="s">
        <v>34</v>
      </c>
      <c r="E16" s="5">
        <v>50.0</v>
      </c>
      <c r="F16" s="6">
        <v>19.97</v>
      </c>
      <c r="G16" s="6">
        <v>10.0</v>
      </c>
      <c r="H16" s="6">
        <v>3.0</v>
      </c>
      <c r="I16" s="6">
        <v>1648.5</v>
      </c>
      <c r="J16" s="7">
        <v>0.7414965986</v>
      </c>
      <c r="K16" s="7">
        <v>0.1863945578</v>
      </c>
      <c r="L16" s="7">
        <v>0.03265306122</v>
      </c>
      <c r="M16" s="7">
        <v>0.03945578231</v>
      </c>
      <c r="N16" s="4" t="s">
        <v>35</v>
      </c>
      <c r="O16" s="6">
        <v>610.0</v>
      </c>
      <c r="P16" s="6">
        <v>66.0</v>
      </c>
      <c r="Q16" s="6">
        <v>21.0</v>
      </c>
      <c r="R16" s="6">
        <v>20.0</v>
      </c>
      <c r="S16" s="6">
        <v>19.97</v>
      </c>
      <c r="T16" s="4" t="s">
        <v>36</v>
      </c>
      <c r="U16" s="8">
        <v>46185.0</v>
      </c>
      <c r="V16" s="5">
        <v>37.0</v>
      </c>
      <c r="W16" s="5">
        <v>9.0</v>
      </c>
      <c r="X16" s="5">
        <v>2.0</v>
      </c>
      <c r="Y16" s="5">
        <v>2.0</v>
      </c>
      <c r="Z16" s="5">
        <v>33.0</v>
      </c>
      <c r="AA16" s="5">
        <v>4.0</v>
      </c>
      <c r="AB16" s="6">
        <v>2710.94</v>
      </c>
      <c r="AC16" s="6">
        <v>1062.44</v>
      </c>
      <c r="AD16" s="6">
        <v>21.2488</v>
      </c>
      <c r="AE16" s="6">
        <v>532.94</v>
      </c>
    </row>
    <row r="17" ht="15.0" customHeight="1">
      <c r="A17" s="9" t="s">
        <v>63</v>
      </c>
      <c r="B17" s="9" t="s">
        <v>64</v>
      </c>
      <c r="C17" s="10" t="s">
        <v>56</v>
      </c>
      <c r="D17" s="10" t="s">
        <v>34</v>
      </c>
      <c r="E17" s="11">
        <v>50.0</v>
      </c>
      <c r="F17" s="12">
        <v>19.97</v>
      </c>
      <c r="G17" s="12">
        <v>10.0</v>
      </c>
      <c r="H17" s="12">
        <v>3.0</v>
      </c>
      <c r="I17" s="12">
        <v>1648.5</v>
      </c>
      <c r="J17" s="13">
        <v>0.7661691542</v>
      </c>
      <c r="K17" s="13">
        <v>0.171641791</v>
      </c>
      <c r="L17" s="13">
        <v>0.04228855721</v>
      </c>
      <c r="M17" s="13">
        <v>0.01990049751</v>
      </c>
      <c r="N17" s="10" t="s">
        <v>35</v>
      </c>
      <c r="O17" s="12">
        <v>610.0</v>
      </c>
      <c r="P17" s="12">
        <v>60.0</v>
      </c>
      <c r="Q17" s="12">
        <v>28.0</v>
      </c>
      <c r="R17" s="12">
        <v>20.0</v>
      </c>
      <c r="S17" s="12">
        <v>19.97</v>
      </c>
      <c r="T17" s="10" t="s">
        <v>36</v>
      </c>
      <c r="U17" s="14">
        <v>46185.0</v>
      </c>
      <c r="V17" s="11">
        <v>38.0</v>
      </c>
      <c r="W17" s="11">
        <v>8.0</v>
      </c>
      <c r="X17" s="11">
        <v>3.0</v>
      </c>
      <c r="Y17" s="11">
        <v>1.0</v>
      </c>
      <c r="Z17" s="11">
        <v>33.0</v>
      </c>
      <c r="AA17" s="11">
        <v>5.0</v>
      </c>
      <c r="AB17" s="12">
        <v>2583.97</v>
      </c>
      <c r="AC17" s="12">
        <v>935.47</v>
      </c>
      <c r="AD17" s="12">
        <v>18.7094</v>
      </c>
      <c r="AE17" s="12">
        <v>603.97</v>
      </c>
    </row>
    <row r="18" ht="15.0" customHeight="1">
      <c r="A18" s="3" t="s">
        <v>65</v>
      </c>
      <c r="B18" s="3" t="s">
        <v>32</v>
      </c>
      <c r="C18" s="4" t="s">
        <v>66</v>
      </c>
      <c r="D18" s="4" t="s">
        <v>34</v>
      </c>
      <c r="E18" s="5">
        <v>20.0</v>
      </c>
      <c r="F18" s="6">
        <v>29.08</v>
      </c>
      <c r="G18" s="6">
        <v>10.0</v>
      </c>
      <c r="H18" s="6">
        <v>3.0</v>
      </c>
      <c r="I18" s="6">
        <v>841.6</v>
      </c>
      <c r="J18" s="7">
        <v>0.4952380952</v>
      </c>
      <c r="K18" s="7">
        <v>0.3857142857</v>
      </c>
      <c r="L18" s="7">
        <v>0.09523809524</v>
      </c>
      <c r="M18" s="7">
        <v>0.02380952381</v>
      </c>
      <c r="N18" s="4" t="s">
        <v>35</v>
      </c>
      <c r="O18" s="6">
        <v>3000.0</v>
      </c>
      <c r="P18" s="6">
        <v>680.0</v>
      </c>
      <c r="Q18" s="6">
        <v>300.0</v>
      </c>
      <c r="R18" s="6">
        <v>120.0</v>
      </c>
      <c r="S18" s="6">
        <v>29.08</v>
      </c>
      <c r="T18" s="4" t="s">
        <v>36</v>
      </c>
      <c r="U18" s="8">
        <v>46185.0</v>
      </c>
      <c r="V18" s="5">
        <v>9.0</v>
      </c>
      <c r="W18" s="5">
        <v>7.0</v>
      </c>
      <c r="X18" s="5">
        <v>2.0</v>
      </c>
      <c r="Y18" s="5">
        <v>1.0</v>
      </c>
      <c r="Z18" s="5">
        <v>9.0</v>
      </c>
      <c r="AA18" s="5">
        <v>0.0</v>
      </c>
      <c r="AB18" s="6">
        <v>8489.08</v>
      </c>
      <c r="AC18" s="6">
        <v>7647.48</v>
      </c>
      <c r="AD18" s="6">
        <v>382.374</v>
      </c>
      <c r="AE18" s="6">
        <v>2369.08</v>
      </c>
    </row>
    <row r="19" ht="15.0" customHeight="1">
      <c r="A19" s="9" t="s">
        <v>67</v>
      </c>
      <c r="B19" s="9" t="s">
        <v>44</v>
      </c>
      <c r="C19" s="10" t="s">
        <v>66</v>
      </c>
      <c r="D19" s="10" t="s">
        <v>34</v>
      </c>
      <c r="E19" s="11">
        <v>20.0</v>
      </c>
      <c r="F19" s="12">
        <v>29.08</v>
      </c>
      <c r="G19" s="12">
        <v>10.0</v>
      </c>
      <c r="H19" s="12">
        <v>3.0</v>
      </c>
      <c r="I19" s="12">
        <v>841.6</v>
      </c>
      <c r="J19" s="13">
        <v>0.5634517766</v>
      </c>
      <c r="K19" s="13">
        <v>0.3248730964</v>
      </c>
      <c r="L19" s="13">
        <v>0.1015228426</v>
      </c>
      <c r="M19" s="13">
        <v>0.01015228426</v>
      </c>
      <c r="N19" s="10" t="s">
        <v>35</v>
      </c>
      <c r="O19" s="12">
        <v>3000.0</v>
      </c>
      <c r="P19" s="12">
        <v>220.0</v>
      </c>
      <c r="Q19" s="12">
        <v>110.0</v>
      </c>
      <c r="R19" s="12">
        <v>42.0</v>
      </c>
      <c r="S19" s="12">
        <v>29.08</v>
      </c>
      <c r="T19" s="10" t="s">
        <v>36</v>
      </c>
      <c r="U19" s="14">
        <v>46185.0</v>
      </c>
      <c r="V19" s="11">
        <v>11.0</v>
      </c>
      <c r="W19" s="11">
        <v>6.0</v>
      </c>
      <c r="X19" s="11">
        <v>3.0</v>
      </c>
      <c r="Y19" s="11">
        <v>1.0</v>
      </c>
      <c r="Z19" s="11">
        <v>9.0</v>
      </c>
      <c r="AA19" s="11">
        <v>2.0</v>
      </c>
      <c r="AB19" s="12">
        <v>3235.08</v>
      </c>
      <c r="AC19" s="12">
        <v>2393.48</v>
      </c>
      <c r="AD19" s="12">
        <v>119.674</v>
      </c>
      <c r="AE19" s="12">
        <v>1255.08</v>
      </c>
    </row>
    <row r="20" ht="15.0" customHeight="1">
      <c r="A20" s="3" t="s">
        <v>68</v>
      </c>
      <c r="B20" s="3" t="s">
        <v>40</v>
      </c>
      <c r="C20" s="4" t="s">
        <v>66</v>
      </c>
      <c r="D20" s="4" t="s">
        <v>34</v>
      </c>
      <c r="E20" s="5">
        <v>20.0</v>
      </c>
      <c r="F20" s="6">
        <v>29.08</v>
      </c>
      <c r="G20" s="6">
        <v>10.0</v>
      </c>
      <c r="H20" s="6">
        <v>3.0</v>
      </c>
      <c r="I20" s="6">
        <v>841.6</v>
      </c>
      <c r="J20" s="7">
        <v>0.6326530612</v>
      </c>
      <c r="K20" s="7">
        <v>0.2704081633</v>
      </c>
      <c r="L20" s="7">
        <v>0.07142857143</v>
      </c>
      <c r="M20" s="7">
        <v>0.02551020408</v>
      </c>
      <c r="N20" s="4" t="s">
        <v>35</v>
      </c>
      <c r="O20" s="6">
        <v>3000.0</v>
      </c>
      <c r="P20" s="6">
        <v>202.0</v>
      </c>
      <c r="Q20" s="6">
        <v>150.0</v>
      </c>
      <c r="R20" s="6">
        <v>38.0</v>
      </c>
      <c r="S20" s="6">
        <v>29.08</v>
      </c>
      <c r="T20" s="4" t="s">
        <v>36</v>
      </c>
      <c r="U20" s="8">
        <v>46185.0</v>
      </c>
      <c r="V20" s="5">
        <v>12.0</v>
      </c>
      <c r="W20" s="5">
        <v>5.0</v>
      </c>
      <c r="X20" s="5">
        <v>2.0</v>
      </c>
      <c r="Y20" s="5">
        <v>1.0</v>
      </c>
      <c r="Z20" s="5">
        <v>9.0</v>
      </c>
      <c r="AA20" s="5">
        <v>3.0</v>
      </c>
      <c r="AB20" s="6">
        <v>3279.08</v>
      </c>
      <c r="AC20" s="6">
        <v>2437.48</v>
      </c>
      <c r="AD20" s="6">
        <v>121.874</v>
      </c>
      <c r="AE20" s="6">
        <v>1461.08</v>
      </c>
    </row>
    <row r="21" ht="15.0" customHeight="1">
      <c r="A21" s="9" t="s">
        <v>69</v>
      </c>
      <c r="B21" s="9" t="s">
        <v>38</v>
      </c>
      <c r="C21" s="10" t="s">
        <v>66</v>
      </c>
      <c r="D21" s="10" t="s">
        <v>34</v>
      </c>
      <c r="E21" s="11">
        <v>20.0</v>
      </c>
      <c r="F21" s="12">
        <v>29.08</v>
      </c>
      <c r="G21" s="12">
        <v>10.0</v>
      </c>
      <c r="H21" s="12">
        <v>3.0</v>
      </c>
      <c r="I21" s="12">
        <v>841.6</v>
      </c>
      <c r="J21" s="13">
        <v>0.4771573604</v>
      </c>
      <c r="K21" s="13">
        <v>0.4162436548</v>
      </c>
      <c r="L21" s="13">
        <v>0.1015228426</v>
      </c>
      <c r="M21" s="13">
        <v>0.005076142132</v>
      </c>
      <c r="N21" s="10" t="s">
        <v>35</v>
      </c>
      <c r="O21" s="12">
        <v>3000.0</v>
      </c>
      <c r="P21" s="12">
        <v>200.0</v>
      </c>
      <c r="Q21" s="12">
        <v>152.0</v>
      </c>
      <c r="R21" s="12">
        <v>31.0</v>
      </c>
      <c r="S21" s="12">
        <v>29.08</v>
      </c>
      <c r="T21" s="10" t="s">
        <v>36</v>
      </c>
      <c r="U21" s="14">
        <v>46185.0</v>
      </c>
      <c r="V21" s="11">
        <v>9.0</v>
      </c>
      <c r="W21" s="11">
        <v>8.0</v>
      </c>
      <c r="X21" s="11">
        <v>3.0</v>
      </c>
      <c r="Y21" s="11">
        <v>1.0</v>
      </c>
      <c r="Z21" s="11">
        <v>9.0</v>
      </c>
      <c r="AA21" s="11">
        <v>0.0</v>
      </c>
      <c r="AB21" s="12">
        <v>3138.08</v>
      </c>
      <c r="AC21" s="12">
        <v>2296.48</v>
      </c>
      <c r="AD21" s="12">
        <v>114.824</v>
      </c>
      <c r="AE21" s="12">
        <v>1338.08</v>
      </c>
    </row>
    <row r="22" ht="15.0" customHeight="1">
      <c r="A22" s="3" t="s">
        <v>70</v>
      </c>
      <c r="B22" s="3" t="s">
        <v>42</v>
      </c>
      <c r="C22" s="4" t="s">
        <v>66</v>
      </c>
      <c r="D22" s="4" t="s">
        <v>34</v>
      </c>
      <c r="E22" s="5">
        <v>20.0</v>
      </c>
      <c r="F22" s="6">
        <v>29.08</v>
      </c>
      <c r="G22" s="6">
        <v>10.0</v>
      </c>
      <c r="H22" s="6">
        <v>3.0</v>
      </c>
      <c r="I22" s="6">
        <v>841.6</v>
      </c>
      <c r="J22" s="7">
        <v>0.4972067039</v>
      </c>
      <c r="K22" s="7">
        <v>0.4134078212</v>
      </c>
      <c r="L22" s="7">
        <v>0.0782122905</v>
      </c>
      <c r="M22" s="7">
        <v>0.01117318436</v>
      </c>
      <c r="N22" s="4" t="s">
        <v>35</v>
      </c>
      <c r="O22" s="6">
        <v>3000.0</v>
      </c>
      <c r="P22" s="6">
        <v>150.0</v>
      </c>
      <c r="Q22" s="6">
        <v>75.0</v>
      </c>
      <c r="R22" s="6">
        <v>33.0</v>
      </c>
      <c r="S22" s="6">
        <v>29.08</v>
      </c>
      <c r="T22" s="4" t="s">
        <v>36</v>
      </c>
      <c r="U22" s="8">
        <v>46185.0</v>
      </c>
      <c r="V22" s="5">
        <v>9.0</v>
      </c>
      <c r="W22" s="5">
        <v>8.0</v>
      </c>
      <c r="X22" s="5">
        <v>2.0</v>
      </c>
      <c r="Y22" s="5">
        <v>1.0</v>
      </c>
      <c r="Z22" s="5">
        <v>9.0</v>
      </c>
      <c r="AA22" s="5">
        <v>0.0</v>
      </c>
      <c r="AB22" s="6">
        <v>2045.08</v>
      </c>
      <c r="AC22" s="6">
        <v>1203.48</v>
      </c>
      <c r="AD22" s="6">
        <v>60.174</v>
      </c>
      <c r="AE22" s="6">
        <v>695.08</v>
      </c>
    </row>
    <row r="23" ht="15.0" customHeight="1">
      <c r="A23" s="9" t="s">
        <v>71</v>
      </c>
      <c r="B23" s="9" t="s">
        <v>48</v>
      </c>
      <c r="C23" s="10" t="s">
        <v>66</v>
      </c>
      <c r="D23" s="10" t="s">
        <v>34</v>
      </c>
      <c r="E23" s="11">
        <v>20.0</v>
      </c>
      <c r="F23" s="12">
        <v>29.08</v>
      </c>
      <c r="G23" s="12">
        <v>10.0</v>
      </c>
      <c r="H23" s="12">
        <v>3.0</v>
      </c>
      <c r="I23" s="12">
        <v>841.6</v>
      </c>
      <c r="J23" s="13">
        <v>0.5517241379</v>
      </c>
      <c r="K23" s="13">
        <v>0.3620689655</v>
      </c>
      <c r="L23" s="13">
        <v>0.0632183908</v>
      </c>
      <c r="M23" s="13">
        <v>0.02298850575</v>
      </c>
      <c r="N23" s="10" t="s">
        <v>35</v>
      </c>
      <c r="O23" s="12">
        <v>3000.0</v>
      </c>
      <c r="P23" s="12">
        <v>100.0</v>
      </c>
      <c r="Q23" s="12">
        <v>50.0</v>
      </c>
      <c r="R23" s="12">
        <v>24.0</v>
      </c>
      <c r="S23" s="12">
        <v>29.08</v>
      </c>
      <c r="T23" s="10" t="s">
        <v>36</v>
      </c>
      <c r="U23" s="14">
        <v>46185.0</v>
      </c>
      <c r="V23" s="11">
        <v>11.0</v>
      </c>
      <c r="W23" s="11">
        <v>7.0</v>
      </c>
      <c r="X23" s="11">
        <v>2.0</v>
      </c>
      <c r="Y23" s="11">
        <v>1.0</v>
      </c>
      <c r="Z23" s="11">
        <v>9.0</v>
      </c>
      <c r="AA23" s="11">
        <v>2.0</v>
      </c>
      <c r="AB23" s="12">
        <v>1527.08</v>
      </c>
      <c r="AC23" s="12">
        <v>685.48</v>
      </c>
      <c r="AD23" s="12">
        <v>34.274</v>
      </c>
      <c r="AE23" s="12">
        <v>627.08</v>
      </c>
    </row>
    <row r="24" ht="15.0" customHeight="1">
      <c r="A24" s="3" t="s">
        <v>72</v>
      </c>
      <c r="B24" s="3" t="s">
        <v>46</v>
      </c>
      <c r="C24" s="4" t="s">
        <v>66</v>
      </c>
      <c r="D24" s="4" t="s">
        <v>34</v>
      </c>
      <c r="E24" s="5">
        <v>20.0</v>
      </c>
      <c r="F24" s="6">
        <v>29.08</v>
      </c>
      <c r="G24" s="6">
        <v>10.0</v>
      </c>
      <c r="H24" s="6">
        <v>3.0</v>
      </c>
      <c r="I24" s="6">
        <v>841.6</v>
      </c>
      <c r="J24" s="7">
        <v>0.4838709677</v>
      </c>
      <c r="K24" s="7">
        <v>0.3924731183</v>
      </c>
      <c r="L24" s="7">
        <v>0.06989247312</v>
      </c>
      <c r="M24" s="7">
        <v>0.05376344086</v>
      </c>
      <c r="N24" s="4" t="s">
        <v>35</v>
      </c>
      <c r="O24" s="6">
        <v>3000.0</v>
      </c>
      <c r="P24" s="6">
        <v>120.0</v>
      </c>
      <c r="Q24" s="6">
        <v>61.0</v>
      </c>
      <c r="R24" s="6">
        <v>28.0</v>
      </c>
      <c r="S24" s="6">
        <v>29.08</v>
      </c>
      <c r="T24" s="4" t="s">
        <v>36</v>
      </c>
      <c r="U24" s="8">
        <v>46185.0</v>
      </c>
      <c r="V24" s="5">
        <v>9.0</v>
      </c>
      <c r="W24" s="5">
        <v>7.0</v>
      </c>
      <c r="X24" s="5">
        <v>2.0</v>
      </c>
      <c r="Y24" s="5">
        <v>2.0</v>
      </c>
      <c r="Z24" s="5">
        <v>9.0</v>
      </c>
      <c r="AA24" s="5">
        <v>0.0</v>
      </c>
      <c r="AB24" s="6">
        <v>1621.16</v>
      </c>
      <c r="AC24" s="6">
        <v>779.56</v>
      </c>
      <c r="AD24" s="6">
        <v>38.978</v>
      </c>
      <c r="AE24" s="6">
        <v>541.16</v>
      </c>
    </row>
    <row r="25" ht="15.0" customHeight="1">
      <c r="A25" s="9" t="s">
        <v>73</v>
      </c>
      <c r="B25" s="9" t="s">
        <v>50</v>
      </c>
      <c r="C25" s="10" t="s">
        <v>66</v>
      </c>
      <c r="D25" s="10" t="s">
        <v>34</v>
      </c>
      <c r="E25" s="11">
        <v>20.0</v>
      </c>
      <c r="F25" s="12">
        <v>29.08</v>
      </c>
      <c r="G25" s="12">
        <v>10.0</v>
      </c>
      <c r="H25" s="12">
        <v>3.0</v>
      </c>
      <c r="I25" s="12">
        <v>841.6</v>
      </c>
      <c r="J25" s="13">
        <v>0.4632768362</v>
      </c>
      <c r="K25" s="13">
        <v>0.395480226</v>
      </c>
      <c r="L25" s="13">
        <v>0.1186440678</v>
      </c>
      <c r="M25" s="13">
        <v>0.02259887006</v>
      </c>
      <c r="N25" s="10" t="s">
        <v>35</v>
      </c>
      <c r="O25" s="12">
        <v>3000.0</v>
      </c>
      <c r="P25" s="12">
        <v>100.0</v>
      </c>
      <c r="Q25" s="12">
        <v>50.0</v>
      </c>
      <c r="R25" s="12">
        <v>22.0</v>
      </c>
      <c r="S25" s="12">
        <v>29.08</v>
      </c>
      <c r="T25" s="10" t="s">
        <v>36</v>
      </c>
      <c r="U25" s="14">
        <v>46185.0</v>
      </c>
      <c r="V25" s="11">
        <v>9.0</v>
      </c>
      <c r="W25" s="11">
        <v>7.0</v>
      </c>
      <c r="X25" s="11">
        <v>3.0</v>
      </c>
      <c r="Y25" s="11">
        <v>1.0</v>
      </c>
      <c r="Z25" s="11">
        <v>9.0</v>
      </c>
      <c r="AA25" s="11">
        <v>0.0</v>
      </c>
      <c r="AB25" s="12">
        <v>1345.08</v>
      </c>
      <c r="AC25" s="12">
        <v>503.48</v>
      </c>
      <c r="AD25" s="12">
        <v>25.174</v>
      </c>
      <c r="AE25" s="12">
        <v>445.08</v>
      </c>
    </row>
    <row r="26" ht="15.0" customHeight="1">
      <c r="A26" s="3" t="s">
        <v>74</v>
      </c>
      <c r="B26" s="3" t="s">
        <v>52</v>
      </c>
      <c r="C26" s="4" t="s">
        <v>66</v>
      </c>
      <c r="D26" s="4" t="s">
        <v>34</v>
      </c>
      <c r="E26" s="5">
        <v>20.0</v>
      </c>
      <c r="F26" s="6">
        <v>29.08</v>
      </c>
      <c r="G26" s="6">
        <v>10.0</v>
      </c>
      <c r="H26" s="6">
        <v>3.0</v>
      </c>
      <c r="I26" s="6">
        <v>841.6</v>
      </c>
      <c r="J26" s="7">
        <v>0.5222222222</v>
      </c>
      <c r="K26" s="7">
        <v>0.3888888889</v>
      </c>
      <c r="L26" s="7">
        <v>0.05555555556</v>
      </c>
      <c r="M26" s="7">
        <v>0.03333333333</v>
      </c>
      <c r="N26" s="4" t="s">
        <v>35</v>
      </c>
      <c r="O26" s="6">
        <v>3000.0</v>
      </c>
      <c r="P26" s="6">
        <v>100.0</v>
      </c>
      <c r="Q26" s="6">
        <v>50.0</v>
      </c>
      <c r="R26" s="6">
        <v>16.0</v>
      </c>
      <c r="S26" s="6">
        <v>29.08</v>
      </c>
      <c r="T26" s="4" t="s">
        <v>36</v>
      </c>
      <c r="U26" s="8">
        <v>46185.0</v>
      </c>
      <c r="V26" s="5">
        <v>10.0</v>
      </c>
      <c r="W26" s="5">
        <v>7.0</v>
      </c>
      <c r="X26" s="5">
        <v>2.0</v>
      </c>
      <c r="Y26" s="5">
        <v>1.0</v>
      </c>
      <c r="Z26" s="5">
        <v>9.0</v>
      </c>
      <c r="AA26" s="5">
        <v>1.0</v>
      </c>
      <c r="AB26" s="6">
        <v>1411.08</v>
      </c>
      <c r="AC26" s="6">
        <v>569.48</v>
      </c>
      <c r="AD26" s="6">
        <v>28.474</v>
      </c>
      <c r="AE26" s="6">
        <v>511.08</v>
      </c>
    </row>
    <row r="27" ht="15.0" customHeight="1">
      <c r="A27" s="9" t="s">
        <v>75</v>
      </c>
      <c r="B27" s="9" t="s">
        <v>54</v>
      </c>
      <c r="C27" s="10" t="s">
        <v>66</v>
      </c>
      <c r="D27" s="10" t="s">
        <v>34</v>
      </c>
      <c r="E27" s="11">
        <v>20.0</v>
      </c>
      <c r="F27" s="12">
        <v>29.08</v>
      </c>
      <c r="G27" s="12">
        <v>10.0</v>
      </c>
      <c r="H27" s="12">
        <v>3.0</v>
      </c>
      <c r="I27" s="12">
        <v>841.6</v>
      </c>
      <c r="J27" s="13">
        <v>0.4748603352</v>
      </c>
      <c r="K27" s="13">
        <v>0.3966480447</v>
      </c>
      <c r="L27" s="13">
        <v>0.1061452514</v>
      </c>
      <c r="M27" s="13">
        <v>0.02234636872</v>
      </c>
      <c r="N27" s="10" t="s">
        <v>35</v>
      </c>
      <c r="O27" s="12">
        <v>3000.0</v>
      </c>
      <c r="P27" s="12">
        <v>90.0</v>
      </c>
      <c r="Q27" s="12">
        <v>45.0</v>
      </c>
      <c r="R27" s="12">
        <v>22.0</v>
      </c>
      <c r="S27" s="12">
        <v>29.08</v>
      </c>
      <c r="T27" s="10" t="s">
        <v>36</v>
      </c>
      <c r="U27" s="14">
        <v>46185.0</v>
      </c>
      <c r="V27" s="11">
        <v>9.0</v>
      </c>
      <c r="W27" s="11">
        <v>7.0</v>
      </c>
      <c r="X27" s="11">
        <v>3.0</v>
      </c>
      <c r="Y27" s="11">
        <v>1.0</v>
      </c>
      <c r="Z27" s="11">
        <v>9.0</v>
      </c>
      <c r="AA27" s="11">
        <v>0.0</v>
      </c>
      <c r="AB27" s="12">
        <v>1220.08</v>
      </c>
      <c r="AC27" s="12">
        <v>378.48</v>
      </c>
      <c r="AD27" s="12">
        <v>18.924</v>
      </c>
      <c r="AE27" s="12">
        <v>410.08</v>
      </c>
    </row>
    <row r="28" ht="15.0" customHeight="1">
      <c r="A28" s="3" t="s">
        <v>76</v>
      </c>
      <c r="B28" s="3" t="s">
        <v>32</v>
      </c>
      <c r="C28" s="4" t="s">
        <v>77</v>
      </c>
      <c r="D28" s="4" t="s">
        <v>78</v>
      </c>
      <c r="E28" s="5">
        <v>4.0</v>
      </c>
      <c r="F28" s="6">
        <v>12.45</v>
      </c>
      <c r="G28" s="6">
        <v>10.0</v>
      </c>
      <c r="H28" s="6">
        <v>3.0</v>
      </c>
      <c r="I28" s="6">
        <v>101.8</v>
      </c>
      <c r="J28" s="7">
        <v>0.5988857939</v>
      </c>
      <c r="K28" s="7">
        <v>0.2506963788</v>
      </c>
      <c r="L28" s="7">
        <v>0.08356545961</v>
      </c>
      <c r="M28" s="7">
        <v>0.06685236769</v>
      </c>
      <c r="N28" s="4" t="s">
        <v>35</v>
      </c>
      <c r="O28" s="6">
        <v>800.0</v>
      </c>
      <c r="P28" s="6">
        <v>65.0</v>
      </c>
      <c r="Q28" s="6">
        <v>32.0</v>
      </c>
      <c r="R28" s="6">
        <v>12.45</v>
      </c>
      <c r="S28" s="6">
        <v>12.45</v>
      </c>
      <c r="T28" s="4" t="s">
        <v>36</v>
      </c>
      <c r="U28" s="8">
        <v>46185.0</v>
      </c>
      <c r="V28" s="5">
        <v>2.0</v>
      </c>
      <c r="W28" s="5">
        <v>1.0</v>
      </c>
      <c r="X28" s="5">
        <v>1.0</v>
      </c>
      <c r="Y28" s="5">
        <v>1.0</v>
      </c>
      <c r="Z28" s="5">
        <v>2.0</v>
      </c>
      <c r="AA28" s="5">
        <v>0.0</v>
      </c>
      <c r="AB28" s="6">
        <v>186.9</v>
      </c>
      <c r="AC28" s="6">
        <v>85.1</v>
      </c>
      <c r="AD28" s="6">
        <v>21.275</v>
      </c>
      <c r="AE28" s="6">
        <v>56.9</v>
      </c>
    </row>
    <row r="29" ht="15.0" customHeight="1">
      <c r="A29" s="9" t="s">
        <v>79</v>
      </c>
      <c r="B29" s="9" t="s">
        <v>32</v>
      </c>
      <c r="C29" s="10" t="s">
        <v>77</v>
      </c>
      <c r="D29" s="10" t="s">
        <v>78</v>
      </c>
      <c r="E29" s="11">
        <v>4.0</v>
      </c>
      <c r="F29" s="12">
        <v>12.45</v>
      </c>
      <c r="G29" s="12">
        <v>10.0</v>
      </c>
      <c r="H29" s="12">
        <v>3.0</v>
      </c>
      <c r="I29" s="12">
        <v>101.8</v>
      </c>
      <c r="J29" s="13">
        <v>0.7683923706</v>
      </c>
      <c r="K29" s="13">
        <v>0.1689373297</v>
      </c>
      <c r="L29" s="13">
        <v>0.04359673025</v>
      </c>
      <c r="M29" s="13">
        <v>0.01907356948</v>
      </c>
      <c r="N29" s="10" t="s">
        <v>35</v>
      </c>
      <c r="O29" s="12">
        <v>800.0</v>
      </c>
      <c r="P29" s="12">
        <v>63.0</v>
      </c>
      <c r="Q29" s="12">
        <v>30.0</v>
      </c>
      <c r="R29" s="12">
        <v>12.45</v>
      </c>
      <c r="S29" s="12">
        <v>12.45</v>
      </c>
      <c r="T29" s="10" t="s">
        <v>36</v>
      </c>
      <c r="U29" s="14">
        <v>46185.0</v>
      </c>
      <c r="V29" s="11">
        <v>3.0</v>
      </c>
      <c r="W29" s="11">
        <v>0.0</v>
      </c>
      <c r="X29" s="11">
        <v>1.0</v>
      </c>
      <c r="Y29" s="11">
        <v>1.0</v>
      </c>
      <c r="Z29" s="11">
        <v>2.0</v>
      </c>
      <c r="AA29" s="11">
        <v>1.0</v>
      </c>
      <c r="AB29" s="12">
        <v>213.9</v>
      </c>
      <c r="AC29" s="12">
        <v>112.1</v>
      </c>
      <c r="AD29" s="12">
        <v>28.025</v>
      </c>
      <c r="AE29" s="12">
        <v>87.9</v>
      </c>
    </row>
    <row r="30" ht="15.0" customHeight="1">
      <c r="A30" s="3" t="s">
        <v>80</v>
      </c>
      <c r="B30" s="3" t="s">
        <v>38</v>
      </c>
      <c r="C30" s="4" t="s">
        <v>77</v>
      </c>
      <c r="D30" s="4" t="s">
        <v>78</v>
      </c>
      <c r="E30" s="5">
        <v>4.0</v>
      </c>
      <c r="F30" s="6">
        <v>12.45</v>
      </c>
      <c r="G30" s="6">
        <v>10.0</v>
      </c>
      <c r="H30" s="6">
        <v>3.0</v>
      </c>
      <c r="I30" s="6">
        <v>101.8</v>
      </c>
      <c r="J30" s="7">
        <v>0.6626865672</v>
      </c>
      <c r="K30" s="7">
        <v>0.2388059701</v>
      </c>
      <c r="L30" s="7">
        <v>0.08059701493</v>
      </c>
      <c r="M30" s="7">
        <v>0.01791044776</v>
      </c>
      <c r="N30" s="4" t="s">
        <v>35</v>
      </c>
      <c r="O30" s="6">
        <v>800.0</v>
      </c>
      <c r="P30" s="6">
        <v>72.0</v>
      </c>
      <c r="Q30" s="6">
        <v>35.0</v>
      </c>
      <c r="R30" s="6">
        <v>12.45</v>
      </c>
      <c r="S30" s="6">
        <v>12.45</v>
      </c>
      <c r="T30" s="4" t="s">
        <v>36</v>
      </c>
      <c r="U30" s="8">
        <v>46185.0</v>
      </c>
      <c r="V30" s="5">
        <v>2.0</v>
      </c>
      <c r="W30" s="5">
        <v>0.0</v>
      </c>
      <c r="X30" s="5">
        <v>1.0</v>
      </c>
      <c r="Y30" s="5">
        <v>1.0</v>
      </c>
      <c r="Z30" s="5">
        <v>2.0</v>
      </c>
      <c r="AA30" s="5">
        <v>0.0</v>
      </c>
      <c r="AB30" s="6">
        <v>168.9</v>
      </c>
      <c r="AC30" s="6">
        <v>67.1</v>
      </c>
      <c r="AD30" s="6">
        <v>16.775</v>
      </c>
      <c r="AE30" s="6">
        <v>24.9</v>
      </c>
    </row>
    <row r="31" ht="15.0" customHeight="1">
      <c r="A31" s="9" t="s">
        <v>81</v>
      </c>
      <c r="B31" s="9" t="s">
        <v>40</v>
      </c>
      <c r="C31" s="10" t="s">
        <v>77</v>
      </c>
      <c r="D31" s="10" t="s">
        <v>78</v>
      </c>
      <c r="E31" s="11">
        <v>4.0</v>
      </c>
      <c r="F31" s="12">
        <v>12.45</v>
      </c>
      <c r="G31" s="12">
        <v>10.0</v>
      </c>
      <c r="H31" s="12">
        <v>3.0</v>
      </c>
      <c r="I31" s="12">
        <v>101.8</v>
      </c>
      <c r="J31" s="13">
        <v>0.664756447</v>
      </c>
      <c r="K31" s="13">
        <v>0.2578796562</v>
      </c>
      <c r="L31" s="13">
        <v>0.06017191977</v>
      </c>
      <c r="M31" s="13">
        <v>0.01719197708</v>
      </c>
      <c r="N31" s="10" t="s">
        <v>35</v>
      </c>
      <c r="O31" s="12">
        <v>800.0</v>
      </c>
      <c r="P31" s="12">
        <v>117.0</v>
      </c>
      <c r="Q31" s="12">
        <v>55.0</v>
      </c>
      <c r="R31" s="12">
        <v>12.45</v>
      </c>
      <c r="S31" s="12">
        <v>12.45</v>
      </c>
      <c r="T31" s="10" t="s">
        <v>36</v>
      </c>
      <c r="U31" s="14">
        <v>46185.0</v>
      </c>
      <c r="V31" s="11">
        <v>2.0</v>
      </c>
      <c r="W31" s="11">
        <v>1.0</v>
      </c>
      <c r="X31" s="11">
        <v>1.0</v>
      </c>
      <c r="Y31" s="11">
        <v>1.0</v>
      </c>
      <c r="Z31" s="11">
        <v>2.0</v>
      </c>
      <c r="AA31" s="11">
        <v>0.0</v>
      </c>
      <c r="AB31" s="12">
        <v>313.9</v>
      </c>
      <c r="AC31" s="12">
        <v>212.1</v>
      </c>
      <c r="AD31" s="12">
        <v>53.025</v>
      </c>
      <c r="AE31" s="12">
        <v>79.9</v>
      </c>
    </row>
    <row r="32" ht="15.0" customHeight="1">
      <c r="A32" s="3" t="s">
        <v>82</v>
      </c>
      <c r="B32" s="3" t="s">
        <v>46</v>
      </c>
      <c r="C32" s="4" t="s">
        <v>77</v>
      </c>
      <c r="D32" s="4" t="s">
        <v>78</v>
      </c>
      <c r="E32" s="5">
        <v>4.0</v>
      </c>
      <c r="F32" s="6">
        <v>12.45</v>
      </c>
      <c r="G32" s="6">
        <v>10.0</v>
      </c>
      <c r="H32" s="6">
        <v>3.0</v>
      </c>
      <c r="I32" s="6">
        <v>101.8</v>
      </c>
      <c r="J32" s="7">
        <v>0.5806451613</v>
      </c>
      <c r="K32" s="7">
        <v>0.2774193548</v>
      </c>
      <c r="L32" s="7">
        <v>0.1161290323</v>
      </c>
      <c r="M32" s="7">
        <v>0.02580645161</v>
      </c>
      <c r="N32" s="4" t="s">
        <v>35</v>
      </c>
      <c r="O32" s="6">
        <v>800.0</v>
      </c>
      <c r="P32" s="6">
        <v>45.0</v>
      </c>
      <c r="Q32" s="6">
        <v>22.0</v>
      </c>
      <c r="R32" s="6">
        <v>12.45</v>
      </c>
      <c r="S32" s="6">
        <v>12.45</v>
      </c>
      <c r="T32" s="4" t="s">
        <v>36</v>
      </c>
      <c r="U32" s="8">
        <v>46185.0</v>
      </c>
      <c r="V32" s="5">
        <v>2.0</v>
      </c>
      <c r="W32" s="5">
        <v>1.0</v>
      </c>
      <c r="X32" s="5">
        <v>1.0</v>
      </c>
      <c r="Y32" s="5">
        <v>1.0</v>
      </c>
      <c r="Z32" s="5">
        <v>2.0</v>
      </c>
      <c r="AA32" s="5">
        <v>0.0</v>
      </c>
      <c r="AB32" s="6">
        <v>136.9</v>
      </c>
      <c r="AC32" s="6">
        <v>35.1</v>
      </c>
      <c r="AD32" s="6">
        <v>8.775</v>
      </c>
      <c r="AE32" s="6">
        <v>46.9</v>
      </c>
    </row>
    <row r="33" ht="15.0" customHeight="1">
      <c r="A33" s="9" t="s">
        <v>83</v>
      </c>
      <c r="B33" s="9" t="s">
        <v>84</v>
      </c>
      <c r="C33" s="10" t="s">
        <v>77</v>
      </c>
      <c r="D33" s="10" t="s">
        <v>78</v>
      </c>
      <c r="E33" s="11">
        <v>4.0</v>
      </c>
      <c r="F33" s="12">
        <v>12.45</v>
      </c>
      <c r="G33" s="12">
        <v>10.0</v>
      </c>
      <c r="H33" s="12">
        <v>3.0</v>
      </c>
      <c r="I33" s="12">
        <v>101.8</v>
      </c>
      <c r="J33" s="13">
        <v>0.6746031746</v>
      </c>
      <c r="K33" s="13">
        <v>0.2619047619</v>
      </c>
      <c r="L33" s="13">
        <v>0.04761904762</v>
      </c>
      <c r="M33" s="13">
        <v>0.01587301587</v>
      </c>
      <c r="N33" s="10" t="s">
        <v>35</v>
      </c>
      <c r="O33" s="12">
        <v>800.0</v>
      </c>
      <c r="P33" s="12">
        <v>45.0</v>
      </c>
      <c r="Q33" s="12">
        <v>22.0</v>
      </c>
      <c r="R33" s="12">
        <v>12.45</v>
      </c>
      <c r="S33" s="12">
        <v>12.45</v>
      </c>
      <c r="T33" s="10" t="s">
        <v>36</v>
      </c>
      <c r="U33" s="14">
        <v>46185.0</v>
      </c>
      <c r="V33" s="11">
        <v>2.0</v>
      </c>
      <c r="W33" s="11">
        <v>1.0</v>
      </c>
      <c r="X33" s="11">
        <v>1.0</v>
      </c>
      <c r="Y33" s="11">
        <v>1.0</v>
      </c>
      <c r="Z33" s="11">
        <v>2.0</v>
      </c>
      <c r="AA33" s="11">
        <v>0.0</v>
      </c>
      <c r="AB33" s="12">
        <v>136.9</v>
      </c>
      <c r="AC33" s="12">
        <v>35.1</v>
      </c>
      <c r="AD33" s="12">
        <v>8.775</v>
      </c>
      <c r="AE33" s="12">
        <v>46.9</v>
      </c>
    </row>
    <row r="34" ht="15.0" customHeight="1">
      <c r="A34" s="3" t="s">
        <v>85</v>
      </c>
      <c r="B34" s="3" t="s">
        <v>86</v>
      </c>
      <c r="C34" s="4" t="s">
        <v>77</v>
      </c>
      <c r="D34" s="4" t="s">
        <v>78</v>
      </c>
      <c r="E34" s="5">
        <v>4.0</v>
      </c>
      <c r="F34" s="6">
        <v>12.45</v>
      </c>
      <c r="G34" s="6">
        <v>10.0</v>
      </c>
      <c r="H34" s="6">
        <v>3.0</v>
      </c>
      <c r="I34" s="6">
        <v>101.8</v>
      </c>
      <c r="J34" s="7">
        <v>0.657480315</v>
      </c>
      <c r="K34" s="7">
        <v>0.2440944882</v>
      </c>
      <c r="L34" s="7">
        <v>0.05905511811</v>
      </c>
      <c r="M34" s="7">
        <v>0.03937007874</v>
      </c>
      <c r="N34" s="4" t="s">
        <v>35</v>
      </c>
      <c r="O34" s="6">
        <v>800.0</v>
      </c>
      <c r="P34" s="6">
        <v>45.0</v>
      </c>
      <c r="Q34" s="6">
        <v>22.0</v>
      </c>
      <c r="R34" s="6">
        <v>12.45</v>
      </c>
      <c r="S34" s="6">
        <v>12.45</v>
      </c>
      <c r="T34" s="4" t="s">
        <v>36</v>
      </c>
      <c r="U34" s="8">
        <v>46185.0</v>
      </c>
      <c r="V34" s="5">
        <v>2.0</v>
      </c>
      <c r="W34" s="5">
        <v>0.0</v>
      </c>
      <c r="X34" s="5">
        <v>1.0</v>
      </c>
      <c r="Y34" s="5">
        <v>1.0</v>
      </c>
      <c r="Z34" s="5">
        <v>2.0</v>
      </c>
      <c r="AA34" s="5">
        <v>0.0</v>
      </c>
      <c r="AB34" s="6">
        <v>114.9</v>
      </c>
      <c r="AC34" s="6">
        <v>13.1</v>
      </c>
      <c r="AD34" s="6">
        <v>3.275</v>
      </c>
      <c r="AE34" s="6">
        <v>24.9</v>
      </c>
    </row>
    <row r="35" ht="15.0" customHeight="1">
      <c r="A35" s="9" t="s">
        <v>87</v>
      </c>
      <c r="B35" s="9" t="s">
        <v>54</v>
      </c>
      <c r="C35" s="10" t="s">
        <v>77</v>
      </c>
      <c r="D35" s="10" t="s">
        <v>78</v>
      </c>
      <c r="E35" s="11">
        <v>4.0</v>
      </c>
      <c r="F35" s="12">
        <v>12.45</v>
      </c>
      <c r="G35" s="12">
        <v>10.0</v>
      </c>
      <c r="H35" s="12">
        <v>3.0</v>
      </c>
      <c r="I35" s="12">
        <v>101.8</v>
      </c>
      <c r="J35" s="13">
        <v>0.6426229508</v>
      </c>
      <c r="K35" s="13">
        <v>0.2491803279</v>
      </c>
      <c r="L35" s="13">
        <v>0.07868852459</v>
      </c>
      <c r="M35" s="13">
        <v>0.02950819672</v>
      </c>
      <c r="N35" s="10" t="s">
        <v>35</v>
      </c>
      <c r="O35" s="12">
        <v>800.0</v>
      </c>
      <c r="P35" s="12">
        <v>45.0</v>
      </c>
      <c r="Q35" s="12">
        <v>22.0</v>
      </c>
      <c r="R35" s="12">
        <v>12.45</v>
      </c>
      <c r="S35" s="12">
        <v>12.45</v>
      </c>
      <c r="T35" s="10" t="s">
        <v>36</v>
      </c>
      <c r="U35" s="14">
        <v>46185.0</v>
      </c>
      <c r="V35" s="11">
        <v>2.0</v>
      </c>
      <c r="W35" s="11">
        <v>0.0</v>
      </c>
      <c r="X35" s="11">
        <v>1.0</v>
      </c>
      <c r="Y35" s="11">
        <v>1.0</v>
      </c>
      <c r="Z35" s="11">
        <v>2.0</v>
      </c>
      <c r="AA35" s="11">
        <v>0.0</v>
      </c>
      <c r="AB35" s="12">
        <v>114.9</v>
      </c>
      <c r="AC35" s="12">
        <v>13.1</v>
      </c>
      <c r="AD35" s="12">
        <v>3.275</v>
      </c>
      <c r="AE35" s="12">
        <v>24.9</v>
      </c>
    </row>
    <row r="36" ht="15.0" customHeight="1">
      <c r="A36" s="3" t="s">
        <v>88</v>
      </c>
      <c r="B36" s="3" t="s">
        <v>89</v>
      </c>
      <c r="C36" s="4" t="s">
        <v>77</v>
      </c>
      <c r="D36" s="4" t="s">
        <v>78</v>
      </c>
      <c r="E36" s="5">
        <v>4.0</v>
      </c>
      <c r="F36" s="6">
        <v>12.45</v>
      </c>
      <c r="G36" s="6">
        <v>10.0</v>
      </c>
      <c r="H36" s="6">
        <v>3.0</v>
      </c>
      <c r="I36" s="6">
        <v>101.8</v>
      </c>
      <c r="J36" s="7">
        <v>0.6474820144</v>
      </c>
      <c r="K36" s="7">
        <v>0.2841726619</v>
      </c>
      <c r="L36" s="7">
        <v>0.05755395683</v>
      </c>
      <c r="M36" s="7">
        <v>0.01079136691</v>
      </c>
      <c r="N36" s="4" t="s">
        <v>35</v>
      </c>
      <c r="O36" s="6">
        <v>800.0</v>
      </c>
      <c r="P36" s="6">
        <v>45.0</v>
      </c>
      <c r="Q36" s="6">
        <v>22.0</v>
      </c>
      <c r="R36" s="6">
        <v>12.45</v>
      </c>
      <c r="S36" s="6">
        <v>12.45</v>
      </c>
      <c r="T36" s="4" t="s">
        <v>36</v>
      </c>
      <c r="U36" s="8">
        <v>46185.0</v>
      </c>
      <c r="V36" s="5">
        <v>2.0</v>
      </c>
      <c r="W36" s="5">
        <v>1.0</v>
      </c>
      <c r="X36" s="5">
        <v>1.0</v>
      </c>
      <c r="Y36" s="5">
        <v>1.0</v>
      </c>
      <c r="Z36" s="5">
        <v>2.0</v>
      </c>
      <c r="AA36" s="5">
        <v>0.0</v>
      </c>
      <c r="AB36" s="6">
        <v>136.9</v>
      </c>
      <c r="AC36" s="6">
        <v>35.1</v>
      </c>
      <c r="AD36" s="6">
        <v>8.775</v>
      </c>
      <c r="AE36" s="6">
        <v>46.9</v>
      </c>
    </row>
    <row r="37" ht="15.0" customHeight="1">
      <c r="A37" s="9" t="s">
        <v>90</v>
      </c>
      <c r="B37" s="9" t="s">
        <v>32</v>
      </c>
      <c r="C37" s="10" t="s">
        <v>91</v>
      </c>
      <c r="D37" s="10" t="s">
        <v>78</v>
      </c>
      <c r="E37" s="11">
        <v>12.0</v>
      </c>
      <c r="F37" s="12">
        <v>29.45</v>
      </c>
      <c r="G37" s="12">
        <v>10.0</v>
      </c>
      <c r="H37" s="12">
        <v>3.0</v>
      </c>
      <c r="I37" s="12">
        <v>509.4</v>
      </c>
      <c r="J37" s="13">
        <v>0.6320754717</v>
      </c>
      <c r="K37" s="13">
        <v>0.2641509434</v>
      </c>
      <c r="L37" s="13">
        <v>0.07075471698</v>
      </c>
      <c r="M37" s="13">
        <v>0.03301886792</v>
      </c>
      <c r="N37" s="10" t="s">
        <v>35</v>
      </c>
      <c r="O37" s="12">
        <v>2000.0</v>
      </c>
      <c r="P37" s="12">
        <v>150.0</v>
      </c>
      <c r="Q37" s="12">
        <v>100.0</v>
      </c>
      <c r="R37" s="12">
        <v>60.0</v>
      </c>
      <c r="S37" s="12">
        <v>29.45</v>
      </c>
      <c r="T37" s="10" t="s">
        <v>36</v>
      </c>
      <c r="U37" s="14">
        <v>46185.0</v>
      </c>
      <c r="V37" s="11">
        <v>7.0</v>
      </c>
      <c r="W37" s="11">
        <v>3.0</v>
      </c>
      <c r="X37" s="11">
        <v>1.0</v>
      </c>
      <c r="Y37" s="11">
        <v>1.0</v>
      </c>
      <c r="Z37" s="11">
        <v>6.0</v>
      </c>
      <c r="AA37" s="11">
        <v>1.0</v>
      </c>
      <c r="AB37" s="12">
        <v>1439.45</v>
      </c>
      <c r="AC37" s="12">
        <v>930.05</v>
      </c>
      <c r="AD37" s="12">
        <v>77.5041666666667</v>
      </c>
      <c r="AE37" s="12">
        <v>539.45</v>
      </c>
    </row>
    <row r="38" ht="15.0" customHeight="1">
      <c r="A38" s="3" t="s">
        <v>92</v>
      </c>
      <c r="B38" s="3" t="s">
        <v>44</v>
      </c>
      <c r="C38" s="4" t="s">
        <v>91</v>
      </c>
      <c r="D38" s="4" t="s">
        <v>78</v>
      </c>
      <c r="E38" s="5">
        <v>12.0</v>
      </c>
      <c r="F38" s="6">
        <v>29.45</v>
      </c>
      <c r="G38" s="6">
        <v>10.0</v>
      </c>
      <c r="H38" s="6">
        <v>3.0</v>
      </c>
      <c r="I38" s="6">
        <v>509.4</v>
      </c>
      <c r="J38" s="7">
        <v>0.6308411215</v>
      </c>
      <c r="K38" s="7">
        <v>0.3130841121</v>
      </c>
      <c r="L38" s="7">
        <v>0.03738317757</v>
      </c>
      <c r="M38" s="7">
        <v>0.01869158879</v>
      </c>
      <c r="N38" s="4" t="s">
        <v>35</v>
      </c>
      <c r="O38" s="6">
        <v>2000.0</v>
      </c>
      <c r="P38" s="6">
        <v>150.0</v>
      </c>
      <c r="Q38" s="6">
        <v>65.0</v>
      </c>
      <c r="R38" s="6">
        <v>57.0</v>
      </c>
      <c r="S38" s="6">
        <v>29.45</v>
      </c>
      <c r="T38" s="4" t="s">
        <v>36</v>
      </c>
      <c r="U38" s="8">
        <v>46185.0</v>
      </c>
      <c r="V38" s="5">
        <v>7.0</v>
      </c>
      <c r="W38" s="5">
        <v>3.0</v>
      </c>
      <c r="X38" s="5">
        <v>1.0</v>
      </c>
      <c r="Y38" s="5">
        <v>1.0</v>
      </c>
      <c r="Z38" s="5">
        <v>6.0</v>
      </c>
      <c r="AA38" s="5">
        <v>1.0</v>
      </c>
      <c r="AB38" s="6">
        <v>1331.45</v>
      </c>
      <c r="AC38" s="6">
        <v>822.05</v>
      </c>
      <c r="AD38" s="6">
        <v>68.5041666666667</v>
      </c>
      <c r="AE38" s="6">
        <v>431.45</v>
      </c>
    </row>
    <row r="39" ht="15.0" customHeight="1">
      <c r="A39" s="9" t="s">
        <v>93</v>
      </c>
      <c r="B39" s="9" t="s">
        <v>38</v>
      </c>
      <c r="C39" s="10" t="s">
        <v>91</v>
      </c>
      <c r="D39" s="10" t="s">
        <v>78</v>
      </c>
      <c r="E39" s="11">
        <v>12.0</v>
      </c>
      <c r="F39" s="12">
        <v>29.45</v>
      </c>
      <c r="G39" s="12">
        <v>10.0</v>
      </c>
      <c r="H39" s="12">
        <v>3.0</v>
      </c>
      <c r="I39" s="12">
        <v>509.4</v>
      </c>
      <c r="J39" s="13">
        <v>0.6796116505</v>
      </c>
      <c r="K39" s="13">
        <v>0.2718446602</v>
      </c>
      <c r="L39" s="13">
        <v>0.04854368932</v>
      </c>
      <c r="M39" s="13">
        <v>0.0</v>
      </c>
      <c r="N39" s="10" t="s">
        <v>35</v>
      </c>
      <c r="O39" s="12">
        <v>2000.0</v>
      </c>
      <c r="P39" s="12">
        <v>140.0</v>
      </c>
      <c r="Q39" s="12">
        <v>65.0</v>
      </c>
      <c r="R39" s="12">
        <v>50.0</v>
      </c>
      <c r="S39" s="12">
        <v>29.45</v>
      </c>
      <c r="T39" s="10" t="s">
        <v>36</v>
      </c>
      <c r="U39" s="14">
        <v>46185.0</v>
      </c>
      <c r="V39" s="11">
        <v>8.0</v>
      </c>
      <c r="W39" s="11">
        <v>3.0</v>
      </c>
      <c r="X39" s="11">
        <v>1.0</v>
      </c>
      <c r="Y39" s="11">
        <v>0.0</v>
      </c>
      <c r="Z39" s="11">
        <v>6.0</v>
      </c>
      <c r="AA39" s="11">
        <v>2.0</v>
      </c>
      <c r="AB39" s="12">
        <v>1365.0</v>
      </c>
      <c r="AC39" s="12">
        <v>855.6</v>
      </c>
      <c r="AD39" s="12">
        <v>71.3</v>
      </c>
      <c r="AE39" s="12">
        <v>525.0</v>
      </c>
    </row>
    <row r="40" ht="15.0" customHeight="1">
      <c r="A40" s="3" t="s">
        <v>94</v>
      </c>
      <c r="B40" s="3" t="s">
        <v>40</v>
      </c>
      <c r="C40" s="4" t="s">
        <v>91</v>
      </c>
      <c r="D40" s="4" t="s">
        <v>78</v>
      </c>
      <c r="E40" s="5">
        <v>12.0</v>
      </c>
      <c r="F40" s="6">
        <v>29.45</v>
      </c>
      <c r="G40" s="6">
        <v>10.0</v>
      </c>
      <c r="H40" s="6">
        <v>3.0</v>
      </c>
      <c r="I40" s="6">
        <v>509.4</v>
      </c>
      <c r="J40" s="7">
        <v>0.5840707965</v>
      </c>
      <c r="K40" s="7">
        <v>0.2876106195</v>
      </c>
      <c r="L40" s="7">
        <v>0.08849557522</v>
      </c>
      <c r="M40" s="7">
        <v>0.03982300885</v>
      </c>
      <c r="N40" s="4" t="s">
        <v>35</v>
      </c>
      <c r="O40" s="6">
        <v>2000.0</v>
      </c>
      <c r="P40" s="6">
        <v>112.0</v>
      </c>
      <c r="Q40" s="6">
        <v>60.0</v>
      </c>
      <c r="R40" s="6">
        <v>46.0</v>
      </c>
      <c r="S40" s="6">
        <v>29.45</v>
      </c>
      <c r="T40" s="4" t="s">
        <v>36</v>
      </c>
      <c r="U40" s="8">
        <v>46185.0</v>
      </c>
      <c r="V40" s="5">
        <v>7.0</v>
      </c>
      <c r="W40" s="5">
        <v>3.0</v>
      </c>
      <c r="X40" s="5">
        <v>2.0</v>
      </c>
      <c r="Y40" s="5">
        <v>1.0</v>
      </c>
      <c r="Z40" s="5">
        <v>6.0</v>
      </c>
      <c r="AA40" s="5">
        <v>1.0</v>
      </c>
      <c r="AB40" s="6">
        <v>1085.45</v>
      </c>
      <c r="AC40" s="6">
        <v>576.05</v>
      </c>
      <c r="AD40" s="6">
        <v>48.0041666666667</v>
      </c>
      <c r="AE40" s="6">
        <v>413.45</v>
      </c>
    </row>
    <row r="41" ht="15.0" customHeight="1">
      <c r="A41" s="9" t="s">
        <v>95</v>
      </c>
      <c r="B41" s="9" t="s">
        <v>42</v>
      </c>
      <c r="C41" s="10" t="s">
        <v>91</v>
      </c>
      <c r="D41" s="10" t="s">
        <v>78</v>
      </c>
      <c r="E41" s="11">
        <v>12.0</v>
      </c>
      <c r="F41" s="12">
        <v>29.45</v>
      </c>
      <c r="G41" s="12">
        <v>10.0</v>
      </c>
      <c r="H41" s="12">
        <v>3.0</v>
      </c>
      <c r="I41" s="12">
        <v>509.4</v>
      </c>
      <c r="J41" s="13">
        <v>0.7016574586</v>
      </c>
      <c r="K41" s="13">
        <v>0.09392265193</v>
      </c>
      <c r="L41" s="13">
        <v>0.05524861878</v>
      </c>
      <c r="M41" s="13">
        <v>0.1491712707</v>
      </c>
      <c r="N41" s="10" t="s">
        <v>35</v>
      </c>
      <c r="O41" s="12">
        <v>2000.0</v>
      </c>
      <c r="P41" s="12">
        <v>110.0</v>
      </c>
      <c r="Q41" s="12">
        <v>60.0</v>
      </c>
      <c r="R41" s="12">
        <v>36.0</v>
      </c>
      <c r="S41" s="12">
        <v>29.45</v>
      </c>
      <c r="T41" s="10" t="s">
        <v>36</v>
      </c>
      <c r="U41" s="14">
        <v>46185.0</v>
      </c>
      <c r="V41" s="11">
        <v>8.0</v>
      </c>
      <c r="W41" s="11">
        <v>1.0</v>
      </c>
      <c r="X41" s="11">
        <v>1.0</v>
      </c>
      <c r="Y41" s="11">
        <v>2.0</v>
      </c>
      <c r="Z41" s="11">
        <v>6.0</v>
      </c>
      <c r="AA41" s="11">
        <v>2.0</v>
      </c>
      <c r="AB41" s="12">
        <v>1034.9</v>
      </c>
      <c r="AC41" s="12">
        <v>525.5</v>
      </c>
      <c r="AD41" s="12">
        <v>43.7916666666667</v>
      </c>
      <c r="AE41" s="12">
        <v>374.9</v>
      </c>
    </row>
    <row r="42" ht="15.0" customHeight="1">
      <c r="A42" s="3" t="s">
        <v>96</v>
      </c>
      <c r="B42" s="3" t="s">
        <v>89</v>
      </c>
      <c r="C42" s="4" t="s">
        <v>91</v>
      </c>
      <c r="D42" s="4" t="s">
        <v>78</v>
      </c>
      <c r="E42" s="5">
        <v>12.0</v>
      </c>
      <c r="F42" s="6">
        <v>29.45</v>
      </c>
      <c r="G42" s="6">
        <v>10.0</v>
      </c>
      <c r="H42" s="6">
        <v>3.0</v>
      </c>
      <c r="I42" s="6">
        <v>509.4</v>
      </c>
      <c r="J42" s="7">
        <v>0.5205479452</v>
      </c>
      <c r="K42" s="15">
        <v>0.347</v>
      </c>
      <c r="L42" s="7">
        <v>0.08219178082</v>
      </c>
      <c r="M42" s="16">
        <v>0.05</v>
      </c>
      <c r="N42" s="4" t="s">
        <v>35</v>
      </c>
      <c r="O42" s="6">
        <v>2000.0</v>
      </c>
      <c r="P42" s="6">
        <v>90.0</v>
      </c>
      <c r="Q42" s="6">
        <v>45.0</v>
      </c>
      <c r="R42" s="6">
        <v>21.0</v>
      </c>
      <c r="S42" s="6">
        <v>29.45</v>
      </c>
      <c r="T42" s="4" t="s">
        <v>36</v>
      </c>
      <c r="U42" s="8">
        <v>46185.0</v>
      </c>
      <c r="V42" s="5">
        <v>6.0</v>
      </c>
      <c r="W42" s="5">
        <v>4.0</v>
      </c>
      <c r="X42" s="5">
        <v>1.0</v>
      </c>
      <c r="Y42" s="5">
        <v>0.0</v>
      </c>
      <c r="Z42" s="5">
        <v>6.0</v>
      </c>
      <c r="AA42" s="5">
        <v>0.0</v>
      </c>
      <c r="AB42" s="6">
        <v>770.45</v>
      </c>
      <c r="AC42" s="6">
        <v>261.05</v>
      </c>
      <c r="AD42" s="6">
        <v>21.75</v>
      </c>
      <c r="AE42" s="6">
        <v>230.45</v>
      </c>
    </row>
    <row r="43" ht="15.0" customHeight="1">
      <c r="A43" s="9" t="s">
        <v>97</v>
      </c>
      <c r="B43" s="9" t="s">
        <v>46</v>
      </c>
      <c r="C43" s="10" t="s">
        <v>91</v>
      </c>
      <c r="D43" s="10" t="s">
        <v>78</v>
      </c>
      <c r="E43" s="11">
        <v>12.0</v>
      </c>
      <c r="F43" s="12">
        <v>29.45</v>
      </c>
      <c r="G43" s="12">
        <v>10.0</v>
      </c>
      <c r="H43" s="12">
        <v>3.0</v>
      </c>
      <c r="I43" s="12">
        <v>509.4</v>
      </c>
      <c r="J43" s="13">
        <v>0.6571428571</v>
      </c>
      <c r="K43" s="13">
        <v>0.280952381</v>
      </c>
      <c r="L43" s="13">
        <v>0.05714285714</v>
      </c>
      <c r="M43" s="13">
        <v>0.004761904762</v>
      </c>
      <c r="N43" s="10" t="s">
        <v>35</v>
      </c>
      <c r="O43" s="12">
        <v>2000.0</v>
      </c>
      <c r="P43" s="12">
        <v>100.0</v>
      </c>
      <c r="Q43" s="12">
        <v>40.0</v>
      </c>
      <c r="R43" s="12">
        <v>17.0</v>
      </c>
      <c r="S43" s="12">
        <v>29.45</v>
      </c>
      <c r="T43" s="10" t="s">
        <v>36</v>
      </c>
      <c r="U43" s="14">
        <v>46185.0</v>
      </c>
      <c r="V43" s="11">
        <v>7.0</v>
      </c>
      <c r="W43" s="11">
        <v>3.0</v>
      </c>
      <c r="X43" s="11">
        <v>1.0</v>
      </c>
      <c r="Y43" s="11">
        <v>1.0</v>
      </c>
      <c r="Z43" s="11">
        <v>6.0</v>
      </c>
      <c r="AA43" s="11">
        <v>1.0</v>
      </c>
      <c r="AB43" s="12">
        <v>866.45</v>
      </c>
      <c r="AC43" s="12">
        <v>357.05</v>
      </c>
      <c r="AD43" s="12">
        <v>29.7541666666667</v>
      </c>
      <c r="AE43" s="12">
        <v>266.45</v>
      </c>
    </row>
    <row r="44" ht="15.0" customHeight="1">
      <c r="A44" s="3" t="s">
        <v>98</v>
      </c>
      <c r="B44" s="3" t="s">
        <v>99</v>
      </c>
      <c r="C44" s="4" t="s">
        <v>91</v>
      </c>
      <c r="D44" s="4" t="s">
        <v>78</v>
      </c>
      <c r="E44" s="5">
        <v>12.0</v>
      </c>
      <c r="F44" s="6">
        <v>29.45</v>
      </c>
      <c r="G44" s="6">
        <v>10.0</v>
      </c>
      <c r="H44" s="6">
        <v>3.0</v>
      </c>
      <c r="I44" s="6">
        <v>509.4</v>
      </c>
      <c r="J44" s="7">
        <v>0.5497382199</v>
      </c>
      <c r="K44" s="7">
        <v>0.3507853403</v>
      </c>
      <c r="L44" s="7">
        <v>0.06806282723</v>
      </c>
      <c r="M44" s="7">
        <v>0.03141361257</v>
      </c>
      <c r="N44" s="4" t="s">
        <v>35</v>
      </c>
      <c r="O44" s="6">
        <v>2000.0</v>
      </c>
      <c r="P44" s="6">
        <v>150.0</v>
      </c>
      <c r="Q44" s="6">
        <v>70.0</v>
      </c>
      <c r="R44" s="6">
        <v>17.0</v>
      </c>
      <c r="S44" s="6">
        <v>29.45</v>
      </c>
      <c r="T44" s="4" t="s">
        <v>36</v>
      </c>
      <c r="U44" s="8">
        <v>46185.0</v>
      </c>
      <c r="V44" s="5">
        <v>6.0</v>
      </c>
      <c r="W44" s="5">
        <v>4.0</v>
      </c>
      <c r="X44" s="5">
        <v>1.0</v>
      </c>
      <c r="Y44" s="5">
        <v>1.0</v>
      </c>
      <c r="Z44" s="5">
        <v>6.0</v>
      </c>
      <c r="AA44" s="5">
        <v>0.0</v>
      </c>
      <c r="AB44" s="6">
        <v>1226.45</v>
      </c>
      <c r="AC44" s="6">
        <v>717.05</v>
      </c>
      <c r="AD44" s="6">
        <v>59.7541666666667</v>
      </c>
      <c r="AE44" s="6">
        <v>326.45</v>
      </c>
    </row>
    <row r="45" ht="15.0" customHeight="1">
      <c r="A45" s="9" t="s">
        <v>100</v>
      </c>
      <c r="B45" s="9" t="s">
        <v>48</v>
      </c>
      <c r="C45" s="10" t="s">
        <v>91</v>
      </c>
      <c r="D45" s="10" t="s">
        <v>78</v>
      </c>
      <c r="E45" s="11">
        <v>12.0</v>
      </c>
      <c r="F45" s="12">
        <v>29.45</v>
      </c>
      <c r="G45" s="12">
        <v>10.0</v>
      </c>
      <c r="H45" s="12">
        <v>3.0</v>
      </c>
      <c r="I45" s="12">
        <v>509.4</v>
      </c>
      <c r="J45" s="13">
        <v>0.6614583333</v>
      </c>
      <c r="K45" s="13">
        <v>0.2916666667</v>
      </c>
      <c r="L45" s="13">
        <v>0.03125</v>
      </c>
      <c r="M45" s="13">
        <v>0.015625</v>
      </c>
      <c r="N45" s="10" t="s">
        <v>35</v>
      </c>
      <c r="O45" s="12">
        <v>2000.0</v>
      </c>
      <c r="P45" s="12">
        <v>70.0</v>
      </c>
      <c r="Q45" s="12">
        <v>38.0</v>
      </c>
      <c r="R45" s="12">
        <v>17.0</v>
      </c>
      <c r="S45" s="12">
        <v>29.45</v>
      </c>
      <c r="T45" s="10" t="s">
        <v>36</v>
      </c>
      <c r="U45" s="14">
        <v>46185.0</v>
      </c>
      <c r="V45" s="11">
        <v>7.0</v>
      </c>
      <c r="W45" s="11">
        <v>3.0</v>
      </c>
      <c r="X45" s="11">
        <v>1.0</v>
      </c>
      <c r="Y45" s="11">
        <v>1.0</v>
      </c>
      <c r="Z45" s="11">
        <v>6.0</v>
      </c>
      <c r="AA45" s="11">
        <v>1.0</v>
      </c>
      <c r="AB45" s="12">
        <v>650.45</v>
      </c>
      <c r="AC45" s="12">
        <v>141.05</v>
      </c>
      <c r="AD45" s="12">
        <v>11.7541666666667</v>
      </c>
      <c r="AE45" s="12">
        <v>230.45</v>
      </c>
    </row>
    <row r="46" ht="15.0" customHeight="1">
      <c r="A46" s="3" t="s">
        <v>101</v>
      </c>
      <c r="B46" s="3" t="s">
        <v>54</v>
      </c>
      <c r="C46" s="4" t="s">
        <v>91</v>
      </c>
      <c r="D46" s="4" t="s">
        <v>78</v>
      </c>
      <c r="E46" s="5">
        <v>12.0</v>
      </c>
      <c r="F46" s="6">
        <v>29.45</v>
      </c>
      <c r="G46" s="6">
        <v>10.0</v>
      </c>
      <c r="H46" s="6">
        <v>3.0</v>
      </c>
      <c r="I46" s="6">
        <v>509.4</v>
      </c>
      <c r="J46" s="7">
        <v>0.7083333333</v>
      </c>
      <c r="K46" s="7">
        <v>0.1875</v>
      </c>
      <c r="L46" s="7">
        <v>0.06770833333</v>
      </c>
      <c r="M46" s="7">
        <v>0.03645833333</v>
      </c>
      <c r="N46" s="4" t="s">
        <v>35</v>
      </c>
      <c r="O46" s="6">
        <v>2000.0</v>
      </c>
      <c r="P46" s="6">
        <v>58.0</v>
      </c>
      <c r="Q46" s="6">
        <v>50.0</v>
      </c>
      <c r="R46" s="6">
        <v>7.0</v>
      </c>
      <c r="S46" s="6">
        <v>29.45</v>
      </c>
      <c r="T46" s="4" t="s">
        <v>36</v>
      </c>
      <c r="U46" s="8">
        <v>46185.0</v>
      </c>
      <c r="V46" s="5">
        <v>8.0</v>
      </c>
      <c r="W46" s="5">
        <v>2.0</v>
      </c>
      <c r="X46" s="5">
        <v>1.0</v>
      </c>
      <c r="Y46" s="5">
        <v>1.0</v>
      </c>
      <c r="Z46" s="5">
        <v>6.0</v>
      </c>
      <c r="AA46" s="5">
        <v>2.0</v>
      </c>
      <c r="AB46" s="6">
        <v>600.45</v>
      </c>
      <c r="AC46" s="6">
        <v>91.05</v>
      </c>
      <c r="AD46" s="6">
        <v>7.5875</v>
      </c>
      <c r="AE46" s="6">
        <v>252.45</v>
      </c>
    </row>
    <row r="47" ht="15.0" customHeight="1">
      <c r="A47" s="9" t="s">
        <v>102</v>
      </c>
      <c r="B47" s="9" t="s">
        <v>50</v>
      </c>
      <c r="C47" s="10" t="s">
        <v>91</v>
      </c>
      <c r="D47" s="10" t="s">
        <v>78</v>
      </c>
      <c r="E47" s="11">
        <v>12.0</v>
      </c>
      <c r="F47" s="12">
        <v>29.45</v>
      </c>
      <c r="G47" s="12">
        <v>10.0</v>
      </c>
      <c r="H47" s="12">
        <v>3.0</v>
      </c>
      <c r="I47" s="12">
        <v>509.4</v>
      </c>
      <c r="J47" s="13">
        <v>0.6470588235</v>
      </c>
      <c r="K47" s="13">
        <v>0.2727272727</v>
      </c>
      <c r="L47" s="13">
        <v>0.04278074866</v>
      </c>
      <c r="M47" s="13">
        <v>0.03743315508</v>
      </c>
      <c r="N47" s="10" t="s">
        <v>35</v>
      </c>
      <c r="O47" s="12">
        <v>2000.0</v>
      </c>
      <c r="P47" s="12">
        <v>50.0</v>
      </c>
      <c r="Q47" s="12">
        <v>25.0</v>
      </c>
      <c r="R47" s="12">
        <v>6.0</v>
      </c>
      <c r="S47" s="12">
        <v>29.45</v>
      </c>
      <c r="T47" s="10" t="s">
        <v>36</v>
      </c>
      <c r="U47" s="14">
        <v>46185.0</v>
      </c>
      <c r="V47" s="11">
        <v>7.0</v>
      </c>
      <c r="W47" s="11">
        <v>3.0</v>
      </c>
      <c r="X47" s="11">
        <v>1.0</v>
      </c>
      <c r="Y47" s="11">
        <v>1.0</v>
      </c>
      <c r="Z47" s="11">
        <v>6.0</v>
      </c>
      <c r="AA47" s="11">
        <v>1.0</v>
      </c>
      <c r="AB47" s="12">
        <v>460.45</v>
      </c>
      <c r="AC47" s="12">
        <v>-48.95</v>
      </c>
      <c r="AD47" s="12">
        <v>-4.07916666666667</v>
      </c>
      <c r="AE47" s="12">
        <v>160.45</v>
      </c>
    </row>
    <row r="48" ht="15.0" customHeight="1">
      <c r="A48" s="3" t="s">
        <v>103</v>
      </c>
      <c r="B48" s="3" t="s">
        <v>52</v>
      </c>
      <c r="C48" s="4" t="s">
        <v>91</v>
      </c>
      <c r="D48" s="4" t="s">
        <v>78</v>
      </c>
      <c r="E48" s="5">
        <v>12.0</v>
      </c>
      <c r="F48" s="6">
        <v>29.45</v>
      </c>
      <c r="G48" s="6">
        <v>10.0</v>
      </c>
      <c r="H48" s="6">
        <v>3.0</v>
      </c>
      <c r="I48" s="6">
        <v>509.4</v>
      </c>
      <c r="J48" s="7">
        <v>0.6153846154</v>
      </c>
      <c r="K48" s="7">
        <v>0.3435897436</v>
      </c>
      <c r="L48" s="7">
        <v>0.01538461538</v>
      </c>
      <c r="M48" s="7">
        <v>0.02564102564</v>
      </c>
      <c r="N48" s="4" t="s">
        <v>35</v>
      </c>
      <c r="O48" s="6">
        <v>2000.0</v>
      </c>
      <c r="P48" s="6">
        <v>45.0</v>
      </c>
      <c r="Q48" s="6">
        <v>35.0</v>
      </c>
      <c r="R48" s="6">
        <v>5.0</v>
      </c>
      <c r="S48" s="6">
        <v>29.45</v>
      </c>
      <c r="T48" s="4" t="s">
        <v>36</v>
      </c>
      <c r="U48" s="8">
        <v>46185.0</v>
      </c>
      <c r="V48" s="5">
        <v>7.0</v>
      </c>
      <c r="W48" s="5">
        <v>4.0</v>
      </c>
      <c r="X48" s="5">
        <v>1.0</v>
      </c>
      <c r="Y48" s="5">
        <v>1.0</v>
      </c>
      <c r="Z48" s="5">
        <v>6.0</v>
      </c>
      <c r="AA48" s="5">
        <v>1.0</v>
      </c>
      <c r="AB48" s="6">
        <v>489.45</v>
      </c>
      <c r="AC48" s="6">
        <v>-19.95</v>
      </c>
      <c r="AD48" s="6">
        <v>-1.6625</v>
      </c>
      <c r="AE48" s="6">
        <v>219.45</v>
      </c>
    </row>
    <row r="49" ht="15.0" customHeight="1">
      <c r="A49" s="9" t="s">
        <v>104</v>
      </c>
      <c r="B49" s="9" t="s">
        <v>105</v>
      </c>
      <c r="C49" s="10" t="s">
        <v>106</v>
      </c>
      <c r="D49" s="10" t="s">
        <v>78</v>
      </c>
      <c r="E49" s="11">
        <v>4.0</v>
      </c>
      <c r="F49" s="12">
        <v>8.22</v>
      </c>
      <c r="G49" s="12">
        <v>10.0</v>
      </c>
      <c r="H49" s="12">
        <v>3.0</v>
      </c>
      <c r="I49" s="12">
        <v>84.88</v>
      </c>
      <c r="J49" s="13">
        <v>0.6071428571</v>
      </c>
      <c r="K49" s="13">
        <v>0.2008928571</v>
      </c>
      <c r="L49" s="13">
        <v>0.1651785714</v>
      </c>
      <c r="M49" s="13">
        <v>0.02678571429</v>
      </c>
      <c r="N49" s="10" t="s">
        <v>35</v>
      </c>
      <c r="O49" s="12">
        <v>800.0</v>
      </c>
      <c r="P49" s="12">
        <v>30.0</v>
      </c>
      <c r="Q49" s="12">
        <v>15.0</v>
      </c>
      <c r="R49" s="12">
        <v>3.0</v>
      </c>
      <c r="S49" s="12">
        <v>8.22</v>
      </c>
      <c r="T49" s="10" t="s">
        <v>36</v>
      </c>
      <c r="U49" s="14">
        <v>46185.0</v>
      </c>
      <c r="V49" s="11">
        <v>2.0</v>
      </c>
      <c r="W49" s="11">
        <v>0.0</v>
      </c>
      <c r="X49" s="11">
        <v>1.0</v>
      </c>
      <c r="Y49" s="11">
        <v>1.0</v>
      </c>
      <c r="Z49" s="11">
        <v>2.0</v>
      </c>
      <c r="AA49" s="11">
        <v>0.0</v>
      </c>
      <c r="AB49" s="12">
        <v>71.22</v>
      </c>
      <c r="AC49" s="12">
        <v>-13.66</v>
      </c>
      <c r="AD49" s="12">
        <v>-3.415</v>
      </c>
      <c r="AE49" s="12">
        <v>11.22</v>
      </c>
    </row>
    <row r="50" ht="15.0" customHeight="1">
      <c r="A50" s="3" t="s">
        <v>107</v>
      </c>
      <c r="B50" s="3" t="s">
        <v>108</v>
      </c>
      <c r="C50" s="4" t="s">
        <v>106</v>
      </c>
      <c r="D50" s="4" t="s">
        <v>78</v>
      </c>
      <c r="E50" s="5">
        <v>4.0</v>
      </c>
      <c r="F50" s="6">
        <v>8.22</v>
      </c>
      <c r="G50" s="6">
        <v>10.0</v>
      </c>
      <c r="H50" s="6">
        <v>3.0</v>
      </c>
      <c r="I50" s="6">
        <v>84.88</v>
      </c>
      <c r="J50" s="7">
        <v>0.7882352941</v>
      </c>
      <c r="K50" s="7">
        <v>0.1176470588</v>
      </c>
      <c r="L50" s="7">
        <v>0.08235294118</v>
      </c>
      <c r="M50" s="7">
        <v>0.01176470588</v>
      </c>
      <c r="N50" s="4" t="s">
        <v>35</v>
      </c>
      <c r="O50" s="6">
        <v>800.0</v>
      </c>
      <c r="P50" s="6">
        <v>25.0</v>
      </c>
      <c r="Q50" s="6">
        <v>12.0</v>
      </c>
      <c r="R50" s="6">
        <v>3.0</v>
      </c>
      <c r="S50" s="6">
        <v>8.22</v>
      </c>
      <c r="T50" s="4" t="s">
        <v>36</v>
      </c>
      <c r="U50" s="8">
        <v>46185.0</v>
      </c>
      <c r="V50" s="5">
        <v>3.0</v>
      </c>
      <c r="W50" s="5">
        <v>0.0</v>
      </c>
      <c r="X50" s="5">
        <v>1.0</v>
      </c>
      <c r="Y50" s="5">
        <v>1.0</v>
      </c>
      <c r="Z50" s="5">
        <v>2.0</v>
      </c>
      <c r="AA50" s="5">
        <v>1.0</v>
      </c>
      <c r="AB50" s="6">
        <v>86.22</v>
      </c>
      <c r="AC50" s="6">
        <v>1.34</v>
      </c>
      <c r="AD50" s="6">
        <v>0.335</v>
      </c>
      <c r="AE50" s="6">
        <v>36.22</v>
      </c>
    </row>
    <row r="51" ht="15.0" customHeight="1">
      <c r="A51" s="9" t="s">
        <v>109</v>
      </c>
      <c r="B51" s="9" t="s">
        <v>32</v>
      </c>
      <c r="C51" s="10" t="s">
        <v>106</v>
      </c>
      <c r="D51" s="10" t="s">
        <v>78</v>
      </c>
      <c r="E51" s="11">
        <v>4.0</v>
      </c>
      <c r="F51" s="12">
        <v>8.22</v>
      </c>
      <c r="G51" s="12">
        <v>10.0</v>
      </c>
      <c r="H51" s="12">
        <v>3.0</v>
      </c>
      <c r="I51" s="12">
        <v>84.88</v>
      </c>
      <c r="J51" s="13">
        <v>0.5818882466</v>
      </c>
      <c r="K51" s="13">
        <v>0.2870905588</v>
      </c>
      <c r="L51" s="13">
        <v>0.08670520231</v>
      </c>
      <c r="M51" s="13">
        <v>0.04431599229</v>
      </c>
      <c r="N51" s="10" t="s">
        <v>35</v>
      </c>
      <c r="O51" s="12">
        <v>800.0</v>
      </c>
      <c r="P51" s="12">
        <v>71.0</v>
      </c>
      <c r="Q51" s="12">
        <v>40.0</v>
      </c>
      <c r="R51" s="12">
        <v>36.0</v>
      </c>
      <c r="S51" s="12">
        <v>8.22</v>
      </c>
      <c r="T51" s="10" t="s">
        <v>36</v>
      </c>
      <c r="U51" s="14">
        <v>46185.0</v>
      </c>
      <c r="V51" s="11">
        <v>2.0</v>
      </c>
      <c r="W51" s="11">
        <v>1.0</v>
      </c>
      <c r="X51" s="11">
        <v>1.0</v>
      </c>
      <c r="Y51" s="11">
        <v>1.0</v>
      </c>
      <c r="Z51" s="11">
        <v>2.0</v>
      </c>
      <c r="AA51" s="11">
        <v>0.0</v>
      </c>
      <c r="AB51" s="12">
        <v>226.22</v>
      </c>
      <c r="AC51" s="12">
        <v>141.34</v>
      </c>
      <c r="AD51" s="12">
        <v>35.335</v>
      </c>
      <c r="AE51" s="12">
        <v>84.22</v>
      </c>
    </row>
    <row r="52" ht="15.0" customHeight="1">
      <c r="A52" s="3" t="s">
        <v>110</v>
      </c>
      <c r="B52" s="3" t="s">
        <v>111</v>
      </c>
      <c r="C52" s="4" t="s">
        <v>106</v>
      </c>
      <c r="D52" s="4" t="s">
        <v>78</v>
      </c>
      <c r="E52" s="5">
        <v>4.0</v>
      </c>
      <c r="F52" s="6">
        <v>8.22</v>
      </c>
      <c r="G52" s="6">
        <v>10.0</v>
      </c>
      <c r="H52" s="6">
        <v>3.0</v>
      </c>
      <c r="I52" s="6">
        <v>84.88</v>
      </c>
      <c r="J52" s="7">
        <v>0.7532467532</v>
      </c>
      <c r="K52" s="7">
        <v>0.2077922078</v>
      </c>
      <c r="L52" s="7">
        <v>0.03896103896</v>
      </c>
      <c r="M52" s="7">
        <v>0.0</v>
      </c>
      <c r="N52" s="4" t="s">
        <v>35</v>
      </c>
      <c r="O52" s="6">
        <v>800.0</v>
      </c>
      <c r="P52" s="6">
        <v>30.0</v>
      </c>
      <c r="Q52" s="6">
        <v>15.0</v>
      </c>
      <c r="R52" s="6">
        <v>4.0</v>
      </c>
      <c r="S52" s="6">
        <v>8.22</v>
      </c>
      <c r="T52" s="4" t="s">
        <v>36</v>
      </c>
      <c r="U52" s="8">
        <v>46185.0</v>
      </c>
      <c r="V52" s="5">
        <v>3.0</v>
      </c>
      <c r="W52" s="5">
        <v>0.0</v>
      </c>
      <c r="X52" s="5">
        <v>1.0</v>
      </c>
      <c r="Y52" s="5">
        <v>0.0</v>
      </c>
      <c r="Z52" s="5">
        <v>2.0</v>
      </c>
      <c r="AA52" s="5">
        <v>1.0</v>
      </c>
      <c r="AB52" s="6">
        <v>94.0</v>
      </c>
      <c r="AC52" s="6">
        <v>9.12</v>
      </c>
      <c r="AD52" s="6">
        <v>2.28</v>
      </c>
      <c r="AE52" s="6">
        <v>34.0</v>
      </c>
    </row>
    <row r="53" ht="15.0" customHeight="1">
      <c r="A53" s="9" t="s">
        <v>112</v>
      </c>
      <c r="B53" s="9" t="s">
        <v>113</v>
      </c>
      <c r="C53" s="10" t="s">
        <v>106</v>
      </c>
      <c r="D53" s="10" t="s">
        <v>78</v>
      </c>
      <c r="E53" s="11">
        <v>4.0</v>
      </c>
      <c r="F53" s="12">
        <v>8.22</v>
      </c>
      <c r="G53" s="12">
        <v>10.0</v>
      </c>
      <c r="H53" s="12">
        <v>3.0</v>
      </c>
      <c r="I53" s="12">
        <v>84.88</v>
      </c>
      <c r="J53" s="13">
        <v>0.76</v>
      </c>
      <c r="K53" s="13">
        <v>0.16</v>
      </c>
      <c r="L53" s="13">
        <v>0.08</v>
      </c>
      <c r="M53" s="13">
        <v>0.0</v>
      </c>
      <c r="N53" s="10" t="s">
        <v>35</v>
      </c>
      <c r="O53" s="12">
        <v>800.0</v>
      </c>
      <c r="P53" s="12">
        <v>20.0</v>
      </c>
      <c r="Q53" s="12">
        <v>10.0</v>
      </c>
      <c r="R53" s="12">
        <v>5.0</v>
      </c>
      <c r="S53" s="12">
        <v>8.22</v>
      </c>
      <c r="T53" s="10" t="s">
        <v>36</v>
      </c>
      <c r="U53" s="14">
        <v>46185.0</v>
      </c>
      <c r="V53" s="11">
        <v>3.0</v>
      </c>
      <c r="W53" s="11">
        <v>0.0</v>
      </c>
      <c r="X53" s="11">
        <v>1.0</v>
      </c>
      <c r="Y53" s="11">
        <v>0.0</v>
      </c>
      <c r="Z53" s="11">
        <v>2.0</v>
      </c>
      <c r="AA53" s="11">
        <v>1.0</v>
      </c>
      <c r="AB53" s="12">
        <v>65.0</v>
      </c>
      <c r="AC53" s="12">
        <v>-19.88</v>
      </c>
      <c r="AD53" s="12">
        <v>-4.97</v>
      </c>
      <c r="AE53" s="12">
        <v>25.0</v>
      </c>
    </row>
    <row r="54" ht="15.0" customHeight="1">
      <c r="A54" s="3" t="s">
        <v>114</v>
      </c>
      <c r="B54" s="3" t="s">
        <v>115</v>
      </c>
      <c r="C54" s="4" t="s">
        <v>106</v>
      </c>
      <c r="D54" s="4" t="s">
        <v>78</v>
      </c>
      <c r="E54" s="5">
        <v>4.0</v>
      </c>
      <c r="F54" s="6">
        <v>8.22</v>
      </c>
      <c r="G54" s="6">
        <v>10.0</v>
      </c>
      <c r="H54" s="6">
        <v>3.0</v>
      </c>
      <c r="I54" s="6">
        <v>84.88</v>
      </c>
      <c r="J54" s="7">
        <v>0.5789473684</v>
      </c>
      <c r="K54" s="7">
        <v>0.3333333333</v>
      </c>
      <c r="L54" s="7">
        <v>0.0350877193</v>
      </c>
      <c r="M54" s="7">
        <v>0.05263157895</v>
      </c>
      <c r="N54" s="4" t="s">
        <v>35</v>
      </c>
      <c r="O54" s="6">
        <v>800.0</v>
      </c>
      <c r="P54" s="6">
        <v>25.0</v>
      </c>
      <c r="Q54" s="6">
        <v>12.0</v>
      </c>
      <c r="R54" s="6">
        <v>4.0</v>
      </c>
      <c r="S54" s="6">
        <v>8.22</v>
      </c>
      <c r="T54" s="4" t="s">
        <v>36</v>
      </c>
      <c r="U54" s="8">
        <v>46185.0</v>
      </c>
      <c r="V54" s="5">
        <v>2.0</v>
      </c>
      <c r="W54" s="5">
        <v>1.0</v>
      </c>
      <c r="X54" s="5">
        <v>1.0</v>
      </c>
      <c r="Y54" s="5">
        <v>1.0</v>
      </c>
      <c r="Z54" s="5">
        <v>2.0</v>
      </c>
      <c r="AA54" s="5">
        <v>0.0</v>
      </c>
      <c r="AB54" s="6">
        <v>74.22</v>
      </c>
      <c r="AC54" s="6">
        <v>-10.66</v>
      </c>
      <c r="AD54" s="6">
        <v>-2.665</v>
      </c>
      <c r="AE54" s="6">
        <v>24.22</v>
      </c>
    </row>
    <row r="55" ht="15.0" customHeight="1">
      <c r="A55" s="9" t="s">
        <v>116</v>
      </c>
      <c r="B55" s="9" t="s">
        <v>117</v>
      </c>
      <c r="C55" s="10" t="s">
        <v>106</v>
      </c>
      <c r="D55" s="10" t="s">
        <v>78</v>
      </c>
      <c r="E55" s="11">
        <v>4.0</v>
      </c>
      <c r="F55" s="12">
        <v>8.22</v>
      </c>
      <c r="G55" s="12">
        <v>10.0</v>
      </c>
      <c r="H55" s="12">
        <v>3.0</v>
      </c>
      <c r="I55" s="12">
        <v>84.88</v>
      </c>
      <c r="J55" s="13">
        <v>0.6511627907</v>
      </c>
      <c r="K55" s="13">
        <v>0.1860465116</v>
      </c>
      <c r="L55" s="13">
        <v>0.1162790698</v>
      </c>
      <c r="M55" s="13">
        <v>0.04651162791</v>
      </c>
      <c r="N55" s="10" t="s">
        <v>118</v>
      </c>
      <c r="O55" s="12">
        <v>800.0</v>
      </c>
      <c r="P55" s="12">
        <v>20.0</v>
      </c>
      <c r="Q55" s="12">
        <v>10.0</v>
      </c>
      <c r="R55" s="12">
        <v>2.0</v>
      </c>
      <c r="S55" s="12">
        <v>8.22</v>
      </c>
      <c r="T55" s="10" t="s">
        <v>36</v>
      </c>
      <c r="U55" s="14">
        <v>46185.0</v>
      </c>
      <c r="V55" s="11">
        <v>2.0</v>
      </c>
      <c r="W55" s="11">
        <v>0.0</v>
      </c>
      <c r="X55" s="11">
        <v>1.0</v>
      </c>
      <c r="Y55" s="11">
        <v>1.0</v>
      </c>
      <c r="Z55" s="11">
        <v>2.0</v>
      </c>
      <c r="AA55" s="11">
        <v>0.0</v>
      </c>
      <c r="AB55" s="12">
        <v>50.22</v>
      </c>
      <c r="AC55" s="12">
        <v>-34.66</v>
      </c>
      <c r="AD55" s="12">
        <v>-8.665</v>
      </c>
      <c r="AE55" s="12">
        <v>10.22</v>
      </c>
    </row>
    <row r="56" ht="15.0" customHeight="1">
      <c r="A56" s="3" t="s">
        <v>119</v>
      </c>
      <c r="B56" s="3" t="s">
        <v>120</v>
      </c>
      <c r="C56" s="4" t="s">
        <v>106</v>
      </c>
      <c r="D56" s="4" t="s">
        <v>78</v>
      </c>
      <c r="E56" s="5">
        <v>4.0</v>
      </c>
      <c r="F56" s="6">
        <v>8.22</v>
      </c>
      <c r="G56" s="6">
        <v>10.0</v>
      </c>
      <c r="H56" s="6">
        <v>3.0</v>
      </c>
      <c r="I56" s="6">
        <v>84.88</v>
      </c>
      <c r="J56" s="7">
        <v>0.6329113924</v>
      </c>
      <c r="K56" s="7">
        <v>0.2278481013</v>
      </c>
      <c r="L56" s="7">
        <v>0.1075949367</v>
      </c>
      <c r="M56" s="7">
        <v>0.03164556962</v>
      </c>
      <c r="N56" s="4" t="s">
        <v>35</v>
      </c>
      <c r="O56" s="6">
        <v>800.0</v>
      </c>
      <c r="P56" s="6">
        <v>25.0</v>
      </c>
      <c r="Q56" s="6">
        <v>12.0</v>
      </c>
      <c r="R56" s="6">
        <v>6.0</v>
      </c>
      <c r="S56" s="6">
        <v>8.22</v>
      </c>
      <c r="T56" s="4" t="s">
        <v>36</v>
      </c>
      <c r="U56" s="8">
        <v>46185.0</v>
      </c>
      <c r="V56" s="5">
        <v>2.0</v>
      </c>
      <c r="W56" s="5">
        <v>0.0</v>
      </c>
      <c r="X56" s="5">
        <v>1.0</v>
      </c>
      <c r="Y56" s="5">
        <v>1.0</v>
      </c>
      <c r="Z56" s="5">
        <v>2.0</v>
      </c>
      <c r="AA56" s="5">
        <v>0.0</v>
      </c>
      <c r="AB56" s="6">
        <v>64.22</v>
      </c>
      <c r="AC56" s="6">
        <v>-20.66</v>
      </c>
      <c r="AD56" s="6">
        <v>-5.165</v>
      </c>
      <c r="AE56" s="6">
        <v>14.22</v>
      </c>
    </row>
    <row r="57" ht="15.0" customHeight="1">
      <c r="A57" s="9" t="s">
        <v>121</v>
      </c>
      <c r="B57" s="9" t="s">
        <v>122</v>
      </c>
      <c r="C57" s="10" t="s">
        <v>106</v>
      </c>
      <c r="D57" s="10" t="s">
        <v>78</v>
      </c>
      <c r="E57" s="11">
        <v>4.0</v>
      </c>
      <c r="F57" s="12">
        <v>8.22</v>
      </c>
      <c r="G57" s="12">
        <v>10.0</v>
      </c>
      <c r="H57" s="12">
        <v>3.0</v>
      </c>
      <c r="I57" s="12">
        <v>84.88</v>
      </c>
      <c r="J57" s="13">
        <v>0.6666666667</v>
      </c>
      <c r="K57" s="13">
        <v>0.2</v>
      </c>
      <c r="L57" s="13">
        <v>0.1333333333</v>
      </c>
      <c r="M57" s="13">
        <v>0.0</v>
      </c>
      <c r="N57" s="10" t="s">
        <v>118</v>
      </c>
      <c r="O57" s="12">
        <v>800.0</v>
      </c>
      <c r="P57" s="12">
        <v>15.0</v>
      </c>
      <c r="Q57" s="12">
        <v>10.0</v>
      </c>
      <c r="R57" s="12">
        <v>7.0</v>
      </c>
      <c r="S57" s="12">
        <v>8.22</v>
      </c>
      <c r="T57" s="10" t="s">
        <v>36</v>
      </c>
      <c r="U57" s="14">
        <v>46185.0</v>
      </c>
      <c r="V57" s="11">
        <v>2.0</v>
      </c>
      <c r="W57" s="11">
        <v>0.0</v>
      </c>
      <c r="X57" s="11">
        <v>1.0</v>
      </c>
      <c r="Y57" s="11">
        <v>1.0</v>
      </c>
      <c r="Z57" s="11">
        <v>2.0</v>
      </c>
      <c r="AA57" s="11">
        <v>0.0</v>
      </c>
      <c r="AB57" s="12">
        <v>45.22</v>
      </c>
      <c r="AC57" s="12">
        <v>-39.66</v>
      </c>
      <c r="AD57" s="12">
        <v>-9.915</v>
      </c>
      <c r="AE57" s="12">
        <v>15.22</v>
      </c>
    </row>
    <row r="58" ht="15.0" customHeight="1">
      <c r="A58" s="3" t="s">
        <v>123</v>
      </c>
      <c r="B58" s="3" t="s">
        <v>124</v>
      </c>
      <c r="C58" s="4" t="s">
        <v>106</v>
      </c>
      <c r="D58" s="4" t="s">
        <v>78</v>
      </c>
      <c r="E58" s="5">
        <v>4.0</v>
      </c>
      <c r="F58" s="6">
        <v>8.22</v>
      </c>
      <c r="G58" s="6">
        <v>10.0</v>
      </c>
      <c r="H58" s="6">
        <v>3.0</v>
      </c>
      <c r="I58" s="6">
        <v>84.88</v>
      </c>
      <c r="J58" s="7">
        <v>0.7432432432</v>
      </c>
      <c r="K58" s="7">
        <v>0.1081081081</v>
      </c>
      <c r="L58" s="7">
        <v>0.1351351351</v>
      </c>
      <c r="M58" s="7">
        <v>0.01351351351</v>
      </c>
      <c r="N58" s="4" t="s">
        <v>35</v>
      </c>
      <c r="O58" s="6">
        <v>800.0</v>
      </c>
      <c r="P58" s="6">
        <v>16.0</v>
      </c>
      <c r="Q58" s="6">
        <v>10.0</v>
      </c>
      <c r="R58" s="6">
        <v>4.0</v>
      </c>
      <c r="S58" s="6">
        <v>8.22</v>
      </c>
      <c r="T58" s="4" t="s">
        <v>36</v>
      </c>
      <c r="U58" s="8">
        <v>46185.0</v>
      </c>
      <c r="V58" s="5">
        <v>2.0</v>
      </c>
      <c r="W58" s="5">
        <v>0.0</v>
      </c>
      <c r="X58" s="5">
        <v>1.0</v>
      </c>
      <c r="Y58" s="5">
        <v>1.0</v>
      </c>
      <c r="Z58" s="5">
        <v>2.0</v>
      </c>
      <c r="AA58" s="5">
        <v>0.0</v>
      </c>
      <c r="AB58" s="6">
        <v>44.22</v>
      </c>
      <c r="AC58" s="6">
        <v>-40.66</v>
      </c>
      <c r="AD58" s="6">
        <v>-10.165</v>
      </c>
      <c r="AE58" s="6">
        <v>12.22</v>
      </c>
    </row>
    <row r="59" ht="15.0" customHeight="1">
      <c r="A59" s="9" t="s">
        <v>125</v>
      </c>
      <c r="B59" s="9" t="s">
        <v>126</v>
      </c>
      <c r="C59" s="10" t="s">
        <v>106</v>
      </c>
      <c r="D59" s="10" t="s">
        <v>78</v>
      </c>
      <c r="E59" s="11">
        <v>4.0</v>
      </c>
      <c r="F59" s="12">
        <v>8.22</v>
      </c>
      <c r="G59" s="12">
        <v>10.0</v>
      </c>
      <c r="H59" s="12">
        <v>3.0</v>
      </c>
      <c r="I59" s="12">
        <v>84.88</v>
      </c>
      <c r="J59" s="13">
        <v>0.7719298246</v>
      </c>
      <c r="K59" s="13">
        <v>0.1754385965</v>
      </c>
      <c r="L59" s="13">
        <v>0.01754385965</v>
      </c>
      <c r="M59" s="13">
        <v>0.0350877193</v>
      </c>
      <c r="N59" s="10" t="s">
        <v>35</v>
      </c>
      <c r="O59" s="12">
        <v>800.0</v>
      </c>
      <c r="P59" s="12">
        <v>20.0</v>
      </c>
      <c r="Q59" s="12">
        <v>10.0</v>
      </c>
      <c r="R59" s="12">
        <v>4.0</v>
      </c>
      <c r="S59" s="12">
        <v>8.22</v>
      </c>
      <c r="T59" s="10" t="s">
        <v>36</v>
      </c>
      <c r="U59" s="14">
        <v>46185.0</v>
      </c>
      <c r="V59" s="11">
        <v>3.0</v>
      </c>
      <c r="W59" s="11">
        <v>0.0</v>
      </c>
      <c r="X59" s="11">
        <v>1.0</v>
      </c>
      <c r="Y59" s="11">
        <v>1.0</v>
      </c>
      <c r="Z59" s="11">
        <v>2.0</v>
      </c>
      <c r="AA59" s="11">
        <v>1.0</v>
      </c>
      <c r="AB59" s="12">
        <v>72.22</v>
      </c>
      <c r="AC59" s="12">
        <v>-12.66</v>
      </c>
      <c r="AD59" s="12">
        <v>-3.165</v>
      </c>
      <c r="AE59" s="12">
        <v>32.22</v>
      </c>
    </row>
    <row r="60" ht="15.0" customHeight="1">
      <c r="A60" s="3" t="s">
        <v>127</v>
      </c>
      <c r="B60" s="3" t="s">
        <v>128</v>
      </c>
      <c r="C60" s="4" t="s">
        <v>106</v>
      </c>
      <c r="D60" s="4" t="s">
        <v>78</v>
      </c>
      <c r="E60" s="5">
        <v>4.0</v>
      </c>
      <c r="F60" s="6">
        <v>8.22</v>
      </c>
      <c r="G60" s="6">
        <v>10.0</v>
      </c>
      <c r="H60" s="6">
        <v>3.0</v>
      </c>
      <c r="I60" s="6">
        <v>84.88</v>
      </c>
      <c r="J60" s="7">
        <v>0.6265432099</v>
      </c>
      <c r="K60" s="7">
        <v>0.2962962963</v>
      </c>
      <c r="L60" s="7">
        <v>0.05864197531</v>
      </c>
      <c r="M60" s="7">
        <v>0.01851851852</v>
      </c>
      <c r="N60" s="4" t="s">
        <v>35</v>
      </c>
      <c r="O60" s="6">
        <v>800.0</v>
      </c>
      <c r="P60" s="6">
        <v>230.0</v>
      </c>
      <c r="Q60" s="6">
        <v>10.0</v>
      </c>
      <c r="R60" s="6">
        <v>100.0</v>
      </c>
      <c r="S60" s="6">
        <v>8.22</v>
      </c>
      <c r="T60" s="4" t="s">
        <v>36</v>
      </c>
      <c r="U60" s="8">
        <v>46185.0</v>
      </c>
      <c r="V60" s="5">
        <v>2.0</v>
      </c>
      <c r="W60" s="5">
        <v>1.0</v>
      </c>
      <c r="X60" s="5">
        <v>1.0</v>
      </c>
      <c r="Y60" s="5">
        <v>1.0</v>
      </c>
      <c r="Z60" s="5">
        <v>2.0</v>
      </c>
      <c r="AA60" s="5">
        <v>0.0</v>
      </c>
      <c r="AB60" s="6">
        <v>578.22</v>
      </c>
      <c r="AC60" s="6">
        <v>493.34</v>
      </c>
      <c r="AD60" s="6">
        <v>123.335</v>
      </c>
      <c r="AE60" s="6">
        <v>118.22</v>
      </c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3" width="13.0"/>
    <col customWidth="1" min="4" max="4" width="11.0"/>
    <col customWidth="1" min="5" max="5" width="20.0"/>
    <col customWidth="1" min="6" max="7" width="24.0"/>
    <col customWidth="1" min="8" max="9" width="20.0"/>
    <col customWidth="1" min="10" max="10" width="22.0"/>
    <col customWidth="1" min="11" max="12" width="24.0"/>
    <col customWidth="1" min="13" max="13" width="18.0"/>
    <col customWidth="1" min="14" max="14" width="20.0"/>
    <col customWidth="1" min="15" max="15" width="18.0"/>
    <col customWidth="1" min="16" max="16" width="16.0"/>
    <col customWidth="1" min="17" max="27" width="8.71"/>
  </cols>
  <sheetData>
    <row r="1" ht="36.0" customHeight="1">
      <c r="A1" s="19" t="s">
        <v>2</v>
      </c>
      <c r="B1" s="20" t="s">
        <v>4</v>
      </c>
      <c r="C1" s="19" t="s">
        <v>129</v>
      </c>
      <c r="D1" s="21" t="s">
        <v>3</v>
      </c>
      <c r="E1" s="19" t="s">
        <v>130</v>
      </c>
      <c r="F1" s="19" t="s">
        <v>131</v>
      </c>
      <c r="G1" s="19" t="s">
        <v>132</v>
      </c>
      <c r="H1" s="21" t="s">
        <v>133</v>
      </c>
      <c r="I1" s="19" t="s">
        <v>134</v>
      </c>
      <c r="J1" s="19" t="s">
        <v>135</v>
      </c>
      <c r="K1" s="19" t="s">
        <v>136</v>
      </c>
      <c r="L1" s="19" t="s">
        <v>137</v>
      </c>
      <c r="M1" s="21" t="s">
        <v>138</v>
      </c>
      <c r="N1" s="19" t="s">
        <v>139</v>
      </c>
      <c r="O1" s="19" t="s">
        <v>140</v>
      </c>
      <c r="P1" s="19" t="s">
        <v>141</v>
      </c>
    </row>
    <row r="2">
      <c r="A2" s="22" t="s">
        <v>33</v>
      </c>
      <c r="B2" s="23">
        <v>20.0</v>
      </c>
      <c r="C2" s="24">
        <v>10.0</v>
      </c>
      <c r="D2" s="25" t="s">
        <v>34</v>
      </c>
      <c r="E2" s="26">
        <v>6078.0</v>
      </c>
      <c r="F2" s="26">
        <v>11353.85</v>
      </c>
      <c r="G2" s="26">
        <v>5275.85</v>
      </c>
      <c r="H2" s="27">
        <v>86.80240211</v>
      </c>
      <c r="I2" s="26">
        <v>1250.0</v>
      </c>
      <c r="J2" s="24">
        <v>7.0</v>
      </c>
      <c r="K2" s="26">
        <v>14363.85</v>
      </c>
      <c r="L2" s="26">
        <v>8285.85</v>
      </c>
      <c r="M2" s="27">
        <v>136.3252715</v>
      </c>
      <c r="N2" s="24">
        <v>100.0</v>
      </c>
      <c r="O2" s="24">
        <v>59.0</v>
      </c>
      <c r="P2" s="24">
        <v>26.0</v>
      </c>
    </row>
    <row r="3">
      <c r="A3" s="28" t="s">
        <v>56</v>
      </c>
      <c r="B3" s="29">
        <v>50.0</v>
      </c>
      <c r="C3" s="30">
        <v>6.0</v>
      </c>
      <c r="D3" s="31" t="s">
        <v>34</v>
      </c>
      <c r="E3" s="32">
        <v>9891.0</v>
      </c>
      <c r="F3" s="32">
        <v>21916.76</v>
      </c>
      <c r="G3" s="32">
        <v>12025.76</v>
      </c>
      <c r="H3" s="33">
        <v>121.5828531</v>
      </c>
      <c r="I3" s="32">
        <v>610.0</v>
      </c>
      <c r="J3" s="30">
        <v>33.0</v>
      </c>
      <c r="K3" s="32">
        <v>25018.76</v>
      </c>
      <c r="L3" s="32">
        <v>15127.76</v>
      </c>
      <c r="M3" s="33">
        <v>152.9446972</v>
      </c>
      <c r="N3" s="30">
        <v>219.0</v>
      </c>
      <c r="O3" s="30">
        <v>54.0</v>
      </c>
      <c r="P3" s="30">
        <v>16.0</v>
      </c>
    </row>
    <row r="4">
      <c r="A4" s="22" t="s">
        <v>66</v>
      </c>
      <c r="B4" s="23">
        <v>20.0</v>
      </c>
      <c r="C4" s="24">
        <v>10.0</v>
      </c>
      <c r="D4" s="25" t="s">
        <v>34</v>
      </c>
      <c r="E4" s="26">
        <v>8416.0</v>
      </c>
      <c r="F4" s="26">
        <v>27310.88</v>
      </c>
      <c r="G4" s="26">
        <v>18894.88</v>
      </c>
      <c r="H4" s="27">
        <v>224.5114068</v>
      </c>
      <c r="I4" s="26">
        <v>3000.0</v>
      </c>
      <c r="J4" s="24">
        <v>9.0</v>
      </c>
      <c r="K4" s="26">
        <v>36652.88</v>
      </c>
      <c r="L4" s="26">
        <v>28236.88</v>
      </c>
      <c r="M4" s="27">
        <v>335.5142586</v>
      </c>
      <c r="N4" s="24">
        <v>98.0</v>
      </c>
      <c r="O4" s="24">
        <v>69.0</v>
      </c>
      <c r="P4" s="24">
        <v>24.0</v>
      </c>
    </row>
    <row r="5">
      <c r="A5" s="28" t="s">
        <v>77</v>
      </c>
      <c r="B5" s="29">
        <v>4.0</v>
      </c>
      <c r="C5" s="30">
        <v>9.0</v>
      </c>
      <c r="D5" s="31" t="s">
        <v>78</v>
      </c>
      <c r="E5" s="32">
        <v>916.2</v>
      </c>
      <c r="F5" s="32">
        <v>1524.1</v>
      </c>
      <c r="G5" s="32">
        <v>607.9</v>
      </c>
      <c r="H5" s="33">
        <v>66.35014189</v>
      </c>
      <c r="I5" s="32">
        <v>800.0</v>
      </c>
      <c r="J5" s="30">
        <v>2.0</v>
      </c>
      <c r="K5" s="32">
        <v>2040.1</v>
      </c>
      <c r="L5" s="32">
        <v>1123.9</v>
      </c>
      <c r="M5" s="33">
        <v>122.6697228</v>
      </c>
      <c r="N5" s="30">
        <v>19.0</v>
      </c>
      <c r="O5" s="30">
        <v>5.0</v>
      </c>
      <c r="P5" s="30">
        <v>9.0</v>
      </c>
    </row>
    <row r="6">
      <c r="A6" s="22" t="s">
        <v>91</v>
      </c>
      <c r="B6" s="23">
        <v>12.0</v>
      </c>
      <c r="C6" s="24">
        <v>12.0</v>
      </c>
      <c r="D6" s="25" t="s">
        <v>78</v>
      </c>
      <c r="E6" s="26">
        <v>6112.8</v>
      </c>
      <c r="F6" s="26">
        <v>11320.4</v>
      </c>
      <c r="G6" s="26">
        <v>5207.6</v>
      </c>
      <c r="H6" s="27">
        <v>85.19172883</v>
      </c>
      <c r="I6" s="26">
        <v>2000.0</v>
      </c>
      <c r="J6" s="24">
        <v>6.0</v>
      </c>
      <c r="K6" s="26">
        <v>15970.4</v>
      </c>
      <c r="L6" s="26">
        <v>9857.6</v>
      </c>
      <c r="M6" s="27">
        <v>161.261615</v>
      </c>
      <c r="N6" s="24">
        <v>85.0</v>
      </c>
      <c r="O6" s="24">
        <v>36.0</v>
      </c>
      <c r="P6" s="24">
        <v>13.0</v>
      </c>
    </row>
    <row r="7">
      <c r="A7" s="28" t="s">
        <v>106</v>
      </c>
      <c r="B7" s="29">
        <v>4.0</v>
      </c>
      <c r="C7" s="30">
        <v>12.0</v>
      </c>
      <c r="D7" s="31" t="s">
        <v>78</v>
      </c>
      <c r="E7" s="32">
        <v>1018.56</v>
      </c>
      <c r="F7" s="32">
        <v>1471.2</v>
      </c>
      <c r="G7" s="32">
        <v>452.64</v>
      </c>
      <c r="H7" s="33">
        <v>44.43920829</v>
      </c>
      <c r="I7" s="32">
        <v>800.0</v>
      </c>
      <c r="J7" s="30">
        <v>2.0</v>
      </c>
      <c r="K7" s="32">
        <v>2017.2</v>
      </c>
      <c r="L7" s="32">
        <v>998.64</v>
      </c>
      <c r="M7" s="33">
        <v>98.04429783</v>
      </c>
      <c r="N7" s="30">
        <v>28.0</v>
      </c>
      <c r="O7" s="30">
        <v>3.0</v>
      </c>
      <c r="P7" s="30">
        <v>12.0</v>
      </c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ht="15.75" customHeight="1">
      <c r="A33" s="18"/>
      <c r="B33" s="18"/>
      <c r="C33" s="18"/>
      <c r="D33" s="18"/>
      <c r="E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6.0"/>
    <col customWidth="1" min="3" max="3" width="18.0"/>
    <col customWidth="1" min="4" max="4" width="16.0"/>
    <col customWidth="1" min="5" max="6" width="8.71"/>
  </cols>
  <sheetData>
    <row r="1" ht="17.25" customHeight="1">
      <c r="A1" s="34" t="s">
        <v>142</v>
      </c>
      <c r="B1" s="35"/>
      <c r="C1" s="35"/>
      <c r="D1" s="36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0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A3" s="37" t="s">
        <v>143</v>
      </c>
      <c r="B3" s="35"/>
      <c r="C3" s="35"/>
      <c r="D3" s="3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0" customHeight="1">
      <c r="A4" s="38" t="s">
        <v>144</v>
      </c>
      <c r="B4" s="35"/>
      <c r="C4" s="36"/>
      <c r="D4" s="39">
        <f>IFERROR(SUM(Cards!E3:E61),0)</f>
        <v>928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0" customHeight="1">
      <c r="A5" s="40" t="s">
        <v>145</v>
      </c>
      <c r="B5" s="40"/>
      <c r="C5" s="40"/>
      <c r="D5" s="41">
        <f>IFERROR(SUM(Cards!J3:J61),0)</f>
        <v>12064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0" customHeight="1">
      <c r="A6" s="38" t="s">
        <v>146</v>
      </c>
      <c r="B6" s="35"/>
      <c r="C6" s="36"/>
      <c r="D6" s="41">
        <f>IFERROR(SUM(Cards!I3:I61),0)</f>
        <v>20368.56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0" customHeight="1">
      <c r="A7" s="40" t="s">
        <v>147</v>
      </c>
      <c r="B7" s="40"/>
      <c r="C7" s="40"/>
      <c r="D7" s="41">
        <f>D5+D6</f>
        <v>32432.56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0" customHeight="1">
      <c r="A8" s="38" t="s">
        <v>148</v>
      </c>
      <c r="B8" s="35"/>
      <c r="C8" s="36"/>
      <c r="D8" s="41">
        <f>'Set Performance'!L9</f>
        <v>95503.19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0" customHeight="1">
      <c r="A9" s="38" t="s">
        <v>149</v>
      </c>
      <c r="B9" s="35"/>
      <c r="C9" s="36"/>
      <c r="D9" s="41">
        <f>'Set Performance'!M9</f>
        <v>63070.63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0" customHeight="1">
      <c r="A10" s="38" t="s">
        <v>150</v>
      </c>
      <c r="B10" s="35"/>
      <c r="C10" s="36"/>
      <c r="D10" s="42">
        <f>D9/D7</f>
        <v>1.944670109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0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0" customHeight="1">
      <c r="A12" s="43"/>
      <c r="B12" s="43"/>
      <c r="C12" s="43"/>
      <c r="D12" s="43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0" customHeight="1">
      <c r="A13" s="43"/>
      <c r="B13" s="43"/>
      <c r="C13" s="43"/>
      <c r="D13" s="43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0" customHeight="1">
      <c r="A14" s="43"/>
      <c r="B14" s="43"/>
      <c r="C14" s="43"/>
      <c r="D14" s="43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0" customHeight="1">
      <c r="A15" s="43"/>
      <c r="B15" s="43"/>
      <c r="C15" s="43"/>
      <c r="D15" s="43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0" customHeight="1">
      <c r="A16" s="43"/>
      <c r="B16" s="43"/>
      <c r="C16" s="43"/>
      <c r="D16" s="43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0" customHeight="1">
      <c r="A17" s="43"/>
      <c r="B17" s="43"/>
      <c r="C17" s="43"/>
      <c r="D17" s="43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0" customHeight="1">
      <c r="A18" s="43"/>
      <c r="B18" s="43"/>
      <c r="C18" s="43"/>
      <c r="D18" s="43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0" customHeight="1">
      <c r="A19" s="43"/>
      <c r="B19" s="43"/>
      <c r="C19" s="43"/>
      <c r="D19" s="43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0" customHeight="1">
      <c r="A20" s="43"/>
      <c r="B20" s="43"/>
      <c r="C20" s="43"/>
      <c r="D20" s="43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0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0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8"/>
      <c r="B221" s="18"/>
      <c r="C221" s="18"/>
      <c r="D221" s="18"/>
      <c r="E221" s="18"/>
      <c r="F221" s="18"/>
    </row>
    <row r="222" ht="15.75" customHeight="1">
      <c r="A222" s="18"/>
      <c r="B222" s="18"/>
      <c r="C222" s="18"/>
      <c r="D222" s="18"/>
      <c r="E222" s="18"/>
      <c r="F222" s="18"/>
    </row>
    <row r="223" ht="15.75" customHeight="1">
      <c r="A223" s="18"/>
      <c r="B223" s="18"/>
      <c r="C223" s="18"/>
      <c r="D223" s="18"/>
      <c r="E223" s="18"/>
      <c r="F223" s="18"/>
    </row>
    <row r="224" ht="15.75" customHeight="1">
      <c r="A224" s="18"/>
      <c r="B224" s="18"/>
      <c r="C224" s="18"/>
      <c r="D224" s="18"/>
      <c r="E224" s="18"/>
      <c r="F224" s="18"/>
    </row>
    <row r="225" ht="15.75" customHeight="1">
      <c r="A225" s="18"/>
      <c r="B225" s="18"/>
      <c r="C225" s="18"/>
      <c r="D225" s="18"/>
      <c r="E225" s="18"/>
      <c r="F225" s="18"/>
    </row>
    <row r="226" ht="15.75" customHeight="1">
      <c r="A226" s="18"/>
      <c r="B226" s="18"/>
      <c r="C226" s="18"/>
      <c r="D226" s="18"/>
      <c r="E226" s="18"/>
      <c r="F226" s="18"/>
    </row>
    <row r="227" ht="15.75" customHeight="1">
      <c r="A227" s="18"/>
      <c r="B227" s="18"/>
      <c r="C227" s="18"/>
      <c r="D227" s="18"/>
      <c r="E227" s="18"/>
      <c r="F227" s="18"/>
    </row>
    <row r="228" ht="15.75" customHeight="1">
      <c r="A228" s="18"/>
      <c r="B228" s="18"/>
      <c r="C228" s="18"/>
      <c r="D228" s="18"/>
      <c r="E228" s="18"/>
      <c r="F228" s="18"/>
    </row>
    <row r="229" ht="15.75" customHeight="1">
      <c r="A229" s="18"/>
      <c r="B229" s="18"/>
      <c r="C229" s="18"/>
      <c r="D229" s="18"/>
      <c r="E229" s="18"/>
      <c r="F229" s="18"/>
    </row>
    <row r="230" ht="15.75" customHeight="1">
      <c r="A230" s="18"/>
      <c r="B230" s="18"/>
      <c r="C230" s="18"/>
      <c r="D230" s="18"/>
      <c r="E230" s="18"/>
      <c r="F230" s="18"/>
    </row>
    <row r="231" ht="15.75" customHeight="1">
      <c r="A231" s="18"/>
      <c r="B231" s="18"/>
      <c r="C231" s="18"/>
      <c r="D231" s="18"/>
      <c r="E231" s="18"/>
      <c r="F231" s="18"/>
    </row>
    <row r="232" ht="15.75" customHeight="1">
      <c r="A232" s="18"/>
      <c r="B232" s="18"/>
      <c r="C232" s="18"/>
      <c r="D232" s="18"/>
      <c r="E232" s="18"/>
      <c r="F232" s="18"/>
    </row>
    <row r="233" ht="15.75" customHeight="1">
      <c r="A233" s="18"/>
      <c r="B233" s="18"/>
      <c r="C233" s="18"/>
      <c r="D233" s="18"/>
      <c r="E233" s="18"/>
      <c r="F233" s="18"/>
    </row>
    <row r="234" ht="15.75" customHeight="1">
      <c r="A234" s="18"/>
      <c r="B234" s="18"/>
      <c r="C234" s="18"/>
      <c r="D234" s="18"/>
      <c r="E234" s="18"/>
      <c r="F234" s="18"/>
    </row>
    <row r="235" ht="15.75" customHeight="1">
      <c r="A235" s="18"/>
      <c r="B235" s="18"/>
      <c r="C235" s="18"/>
      <c r="D235" s="18"/>
      <c r="E235" s="18"/>
      <c r="F235" s="18"/>
    </row>
    <row r="236" ht="15.75" customHeight="1">
      <c r="A236" s="18"/>
      <c r="B236" s="18"/>
      <c r="C236" s="18"/>
      <c r="D236" s="18"/>
      <c r="E236" s="18"/>
      <c r="F236" s="18"/>
    </row>
    <row r="237" ht="15.75" customHeight="1">
      <c r="A237" s="18"/>
      <c r="B237" s="18"/>
      <c r="C237" s="18"/>
      <c r="D237" s="18"/>
      <c r="E237" s="18"/>
      <c r="F237" s="18"/>
    </row>
    <row r="238" ht="15.75" customHeight="1">
      <c r="A238" s="18"/>
      <c r="B238" s="18"/>
      <c r="C238" s="18"/>
      <c r="D238" s="18"/>
      <c r="E238" s="18"/>
      <c r="F238" s="18"/>
    </row>
    <row r="239" ht="15.75" customHeight="1">
      <c r="A239" s="18"/>
      <c r="B239" s="18"/>
      <c r="C239" s="18"/>
      <c r="D239" s="18"/>
      <c r="E239" s="18"/>
      <c r="F239" s="18"/>
    </row>
    <row r="240" ht="15.75" customHeight="1">
      <c r="A240" s="18"/>
      <c r="B240" s="18"/>
      <c r="C240" s="18"/>
      <c r="D240" s="18"/>
      <c r="E240" s="18"/>
      <c r="F240" s="18"/>
    </row>
    <row r="241" ht="15.75" customHeight="1">
      <c r="A241" s="18"/>
      <c r="B241" s="18"/>
      <c r="C241" s="18"/>
      <c r="D241" s="18"/>
      <c r="E241" s="18"/>
      <c r="F241" s="18"/>
    </row>
    <row r="242" ht="15.75" customHeight="1">
      <c r="A242" s="18"/>
      <c r="B242" s="18"/>
      <c r="C242" s="18"/>
      <c r="D242" s="18"/>
      <c r="E242" s="18"/>
      <c r="F242" s="18"/>
    </row>
    <row r="243" ht="15.75" customHeight="1">
      <c r="A243" s="18"/>
      <c r="B243" s="18"/>
      <c r="C243" s="18"/>
      <c r="D243" s="18"/>
      <c r="E243" s="18"/>
      <c r="F243" s="18"/>
    </row>
    <row r="244" ht="15.75" customHeight="1">
      <c r="A244" s="18"/>
      <c r="B244" s="18"/>
      <c r="C244" s="18"/>
      <c r="D244" s="18"/>
      <c r="E244" s="18"/>
      <c r="F244" s="18"/>
    </row>
    <row r="245" ht="15.75" customHeight="1">
      <c r="A245" s="18"/>
      <c r="B245" s="18"/>
      <c r="C245" s="18"/>
      <c r="D245" s="18"/>
      <c r="E245" s="18"/>
      <c r="F245" s="18"/>
    </row>
    <row r="246" ht="15.75" customHeight="1">
      <c r="A246" s="18"/>
      <c r="B246" s="18"/>
      <c r="C246" s="18"/>
      <c r="D246" s="18"/>
      <c r="E246" s="18"/>
      <c r="F246" s="18"/>
    </row>
    <row r="247" ht="15.75" customHeight="1">
      <c r="A247" s="18"/>
      <c r="B247" s="18"/>
      <c r="C247" s="18"/>
      <c r="D247" s="18"/>
      <c r="E247" s="18"/>
      <c r="F247" s="18"/>
    </row>
    <row r="248" ht="15.75" customHeight="1">
      <c r="A248" s="18"/>
      <c r="B248" s="18"/>
      <c r="C248" s="18"/>
      <c r="D248" s="18"/>
      <c r="E248" s="18"/>
      <c r="F248" s="18"/>
    </row>
    <row r="249" ht="15.75" customHeight="1">
      <c r="A249" s="18"/>
      <c r="B249" s="18"/>
      <c r="C249" s="18"/>
      <c r="D249" s="18"/>
      <c r="E249" s="18"/>
      <c r="F249" s="18"/>
    </row>
    <row r="250" ht="15.75" customHeight="1">
      <c r="A250" s="18"/>
      <c r="B250" s="18"/>
      <c r="C250" s="18"/>
      <c r="D250" s="18"/>
      <c r="E250" s="18"/>
      <c r="F250" s="18"/>
    </row>
    <row r="251" ht="15.75" customHeight="1">
      <c r="A251" s="18"/>
      <c r="B251" s="18"/>
      <c r="C251" s="18"/>
      <c r="D251" s="18"/>
      <c r="E251" s="18"/>
      <c r="F251" s="18"/>
    </row>
    <row r="252" ht="15.75" customHeight="1">
      <c r="A252" s="18"/>
      <c r="B252" s="18"/>
      <c r="C252" s="18"/>
      <c r="D252" s="18"/>
      <c r="E252" s="18"/>
      <c r="F252" s="18"/>
    </row>
    <row r="253" ht="15.75" customHeight="1">
      <c r="A253" s="18"/>
      <c r="B253" s="18"/>
      <c r="C253" s="18"/>
      <c r="D253" s="18"/>
      <c r="E253" s="18"/>
      <c r="F253" s="18"/>
    </row>
    <row r="254" ht="15.75" customHeight="1">
      <c r="A254" s="18"/>
      <c r="B254" s="18"/>
      <c r="C254" s="18"/>
      <c r="D254" s="18"/>
      <c r="E254" s="18"/>
      <c r="F254" s="18"/>
    </row>
    <row r="255" ht="15.75" customHeight="1">
      <c r="A255" s="18"/>
      <c r="B255" s="18"/>
      <c r="C255" s="18"/>
      <c r="D255" s="18"/>
      <c r="E255" s="18"/>
      <c r="F255" s="18"/>
    </row>
    <row r="256" ht="15.75" customHeight="1">
      <c r="A256" s="18"/>
      <c r="B256" s="18"/>
      <c r="C256" s="18"/>
      <c r="D256" s="18"/>
      <c r="E256" s="18"/>
      <c r="F256" s="18"/>
    </row>
    <row r="257" ht="15.75" customHeight="1">
      <c r="A257" s="18"/>
      <c r="B257" s="18"/>
      <c r="C257" s="18"/>
      <c r="D257" s="18"/>
      <c r="E257" s="18"/>
      <c r="F257" s="18"/>
    </row>
    <row r="258" ht="15.75" customHeight="1">
      <c r="A258" s="18"/>
      <c r="B258" s="18"/>
      <c r="C258" s="18"/>
      <c r="D258" s="18"/>
      <c r="E258" s="18"/>
      <c r="F258" s="18"/>
    </row>
    <row r="259" ht="15.75" customHeight="1">
      <c r="A259" s="18"/>
      <c r="B259" s="18"/>
      <c r="C259" s="18"/>
      <c r="D259" s="18"/>
      <c r="E259" s="18"/>
      <c r="F259" s="18"/>
    </row>
    <row r="260" ht="15.75" customHeight="1">
      <c r="A260" s="18"/>
      <c r="B260" s="18"/>
      <c r="C260" s="18"/>
      <c r="D260" s="18"/>
      <c r="E260" s="18"/>
      <c r="F260" s="18"/>
    </row>
    <row r="261" ht="15.75" customHeight="1">
      <c r="A261" s="18"/>
      <c r="B261" s="18"/>
      <c r="C261" s="18"/>
      <c r="D261" s="18"/>
      <c r="E261" s="18"/>
      <c r="F261" s="18"/>
    </row>
    <row r="262" ht="15.75" customHeight="1">
      <c r="A262" s="18"/>
      <c r="B262" s="18"/>
      <c r="C262" s="18"/>
      <c r="D262" s="18"/>
      <c r="E262" s="18"/>
      <c r="F262" s="18"/>
    </row>
    <row r="263" ht="15.75" customHeight="1">
      <c r="A263" s="18"/>
      <c r="B263" s="18"/>
      <c r="C263" s="18"/>
      <c r="D263" s="18"/>
      <c r="E263" s="18"/>
      <c r="F263" s="18"/>
    </row>
    <row r="264" ht="15.75" customHeight="1">
      <c r="A264" s="18"/>
      <c r="B264" s="18"/>
      <c r="C264" s="18"/>
      <c r="D264" s="18"/>
      <c r="E264" s="18"/>
      <c r="F264" s="18"/>
    </row>
    <row r="265" ht="15.75" customHeight="1">
      <c r="A265" s="18"/>
      <c r="B265" s="18"/>
      <c r="C265" s="18"/>
      <c r="D265" s="18"/>
      <c r="E265" s="18"/>
      <c r="F265" s="18"/>
    </row>
    <row r="266" ht="15.75" customHeight="1">
      <c r="A266" s="18"/>
      <c r="B266" s="18"/>
      <c r="C266" s="18"/>
      <c r="D266" s="18"/>
      <c r="E266" s="18"/>
      <c r="F266" s="18"/>
    </row>
    <row r="267" ht="15.75" customHeight="1">
      <c r="A267" s="18"/>
      <c r="B267" s="18"/>
      <c r="C267" s="18"/>
      <c r="D267" s="18"/>
      <c r="E267" s="18"/>
      <c r="F267" s="18"/>
    </row>
    <row r="268" ht="15.75" customHeight="1">
      <c r="A268" s="18"/>
      <c r="B268" s="18"/>
      <c r="C268" s="18"/>
      <c r="D268" s="18"/>
      <c r="E268" s="18"/>
      <c r="F268" s="18"/>
    </row>
    <row r="269" ht="15.75" customHeight="1">
      <c r="A269" s="18"/>
      <c r="B269" s="18"/>
      <c r="C269" s="18"/>
      <c r="D269" s="18"/>
      <c r="E269" s="18"/>
      <c r="F269" s="18"/>
    </row>
    <row r="270" ht="15.75" customHeight="1">
      <c r="A270" s="18"/>
      <c r="B270" s="18"/>
      <c r="C270" s="18"/>
      <c r="D270" s="18"/>
      <c r="E270" s="18"/>
      <c r="F270" s="18"/>
    </row>
    <row r="271" ht="15.75" customHeight="1">
      <c r="A271" s="18"/>
      <c r="B271" s="18"/>
      <c r="C271" s="18"/>
      <c r="D271" s="18"/>
      <c r="E271" s="18"/>
      <c r="F271" s="18"/>
    </row>
    <row r="272" ht="15.75" customHeight="1">
      <c r="A272" s="18"/>
      <c r="B272" s="18"/>
      <c r="C272" s="18"/>
      <c r="D272" s="18"/>
      <c r="E272" s="18"/>
      <c r="F272" s="18"/>
    </row>
    <row r="273" ht="15.75" customHeight="1">
      <c r="A273" s="18"/>
      <c r="B273" s="18"/>
      <c r="C273" s="18"/>
      <c r="D273" s="18"/>
      <c r="E273" s="18"/>
      <c r="F273" s="18"/>
    </row>
    <row r="274" ht="15.75" customHeight="1">
      <c r="A274" s="18"/>
      <c r="B274" s="18"/>
      <c r="C274" s="18"/>
      <c r="D274" s="18"/>
      <c r="E274" s="18"/>
      <c r="F274" s="18"/>
    </row>
    <row r="275" ht="15.75" customHeight="1">
      <c r="A275" s="18"/>
      <c r="B275" s="18"/>
      <c r="C275" s="18"/>
      <c r="D275" s="18"/>
      <c r="E275" s="18"/>
      <c r="F275" s="18"/>
    </row>
    <row r="276" ht="15.75" customHeight="1">
      <c r="A276" s="18"/>
      <c r="B276" s="18"/>
      <c r="C276" s="18"/>
      <c r="D276" s="18"/>
      <c r="E276" s="18"/>
      <c r="F276" s="18"/>
    </row>
    <row r="277" ht="15.75" customHeight="1">
      <c r="A277" s="18"/>
      <c r="B277" s="18"/>
      <c r="C277" s="18"/>
      <c r="D277" s="18"/>
      <c r="E277" s="18"/>
      <c r="F277" s="18"/>
    </row>
    <row r="278" ht="15.75" customHeight="1">
      <c r="A278" s="18"/>
      <c r="B278" s="18"/>
      <c r="C278" s="18"/>
      <c r="D278" s="18"/>
      <c r="E278" s="18"/>
      <c r="F278" s="18"/>
    </row>
    <row r="279" ht="15.75" customHeight="1">
      <c r="A279" s="18"/>
      <c r="B279" s="18"/>
      <c r="C279" s="18"/>
      <c r="D279" s="18"/>
      <c r="E279" s="18"/>
      <c r="F279" s="18"/>
    </row>
    <row r="280" ht="15.75" customHeight="1">
      <c r="A280" s="18"/>
      <c r="B280" s="18"/>
      <c r="C280" s="18"/>
      <c r="D280" s="18"/>
      <c r="E280" s="18"/>
      <c r="F280" s="18"/>
    </row>
    <row r="281" ht="15.75" customHeight="1">
      <c r="A281" s="18"/>
      <c r="B281" s="18"/>
      <c r="C281" s="18"/>
      <c r="D281" s="18"/>
      <c r="E281" s="18"/>
      <c r="F281" s="18"/>
    </row>
    <row r="282" ht="15.75" customHeight="1">
      <c r="A282" s="18"/>
      <c r="B282" s="18"/>
      <c r="C282" s="18"/>
      <c r="D282" s="18"/>
      <c r="E282" s="18"/>
      <c r="F282" s="18"/>
    </row>
    <row r="283" ht="15.75" customHeight="1">
      <c r="A283" s="18"/>
      <c r="B283" s="18"/>
      <c r="C283" s="18"/>
      <c r="D283" s="18"/>
      <c r="E283" s="18"/>
      <c r="F283" s="18"/>
    </row>
    <row r="284" ht="15.75" customHeight="1">
      <c r="A284" s="18"/>
      <c r="B284" s="18"/>
      <c r="C284" s="18"/>
      <c r="D284" s="18"/>
      <c r="E284" s="18"/>
      <c r="F284" s="18"/>
    </row>
    <row r="285" ht="15.75" customHeight="1">
      <c r="A285" s="18"/>
      <c r="B285" s="18"/>
      <c r="C285" s="18"/>
      <c r="D285" s="18"/>
      <c r="E285" s="18"/>
      <c r="F285" s="18"/>
    </row>
    <row r="286" ht="15.75" customHeight="1">
      <c r="A286" s="18"/>
      <c r="B286" s="18"/>
      <c r="C286" s="18"/>
      <c r="D286" s="18"/>
      <c r="E286" s="18"/>
      <c r="F286" s="18"/>
    </row>
    <row r="287" ht="15.75" customHeight="1">
      <c r="A287" s="18"/>
      <c r="B287" s="18"/>
      <c r="C287" s="18"/>
      <c r="D287" s="18"/>
      <c r="E287" s="18"/>
      <c r="F287" s="18"/>
    </row>
    <row r="288" ht="15.75" customHeight="1">
      <c r="A288" s="18"/>
      <c r="B288" s="18"/>
      <c r="C288" s="18"/>
      <c r="D288" s="18"/>
      <c r="E288" s="18"/>
      <c r="F288" s="18"/>
    </row>
    <row r="289" ht="15.75" customHeight="1">
      <c r="A289" s="18"/>
      <c r="B289" s="18"/>
      <c r="C289" s="18"/>
      <c r="D289" s="18"/>
      <c r="E289" s="18"/>
      <c r="F289" s="18"/>
    </row>
    <row r="290" ht="15.75" customHeight="1">
      <c r="A290" s="18"/>
      <c r="B290" s="18"/>
      <c r="C290" s="18"/>
      <c r="D290" s="18"/>
      <c r="E290" s="18"/>
      <c r="F290" s="18"/>
    </row>
    <row r="291" ht="15.75" customHeight="1">
      <c r="A291" s="18"/>
      <c r="B291" s="18"/>
      <c r="C291" s="18"/>
      <c r="D291" s="18"/>
      <c r="E291" s="18"/>
      <c r="F291" s="18"/>
    </row>
    <row r="292" ht="15.75" customHeight="1">
      <c r="A292" s="18"/>
      <c r="B292" s="18"/>
      <c r="C292" s="18"/>
      <c r="D292" s="18"/>
      <c r="E292" s="18"/>
      <c r="F292" s="18"/>
    </row>
    <row r="293" ht="15.75" customHeight="1">
      <c r="A293" s="18"/>
      <c r="B293" s="18"/>
      <c r="C293" s="18"/>
      <c r="D293" s="18"/>
      <c r="E293" s="18"/>
      <c r="F293" s="18"/>
    </row>
    <row r="294" ht="15.75" customHeight="1">
      <c r="A294" s="18"/>
      <c r="B294" s="18"/>
      <c r="C294" s="18"/>
      <c r="D294" s="18"/>
      <c r="E294" s="18"/>
      <c r="F294" s="18"/>
    </row>
    <row r="295" ht="15.75" customHeight="1">
      <c r="A295" s="18"/>
      <c r="B295" s="18"/>
      <c r="C295" s="18"/>
      <c r="D295" s="18"/>
      <c r="E295" s="18"/>
      <c r="F295" s="18"/>
    </row>
    <row r="296" ht="15.75" customHeight="1">
      <c r="A296" s="18"/>
      <c r="B296" s="18"/>
      <c r="C296" s="18"/>
      <c r="D296" s="18"/>
      <c r="E296" s="18"/>
      <c r="F296" s="18"/>
    </row>
    <row r="297" ht="15.75" customHeight="1">
      <c r="A297" s="18"/>
      <c r="B297" s="18"/>
      <c r="C297" s="18"/>
      <c r="D297" s="18"/>
      <c r="E297" s="18"/>
      <c r="F297" s="18"/>
    </row>
    <row r="298" ht="15.75" customHeight="1">
      <c r="A298" s="18"/>
      <c r="B298" s="18"/>
      <c r="C298" s="18"/>
      <c r="D298" s="18"/>
      <c r="E298" s="18"/>
      <c r="F298" s="18"/>
    </row>
    <row r="299" ht="15.75" customHeight="1">
      <c r="A299" s="18"/>
      <c r="B299" s="18"/>
      <c r="C299" s="18"/>
      <c r="D299" s="18"/>
      <c r="E299" s="18"/>
      <c r="F299" s="18"/>
    </row>
    <row r="300" ht="15.75" customHeight="1">
      <c r="A300" s="18"/>
      <c r="B300" s="18"/>
      <c r="C300" s="18"/>
      <c r="D300" s="18"/>
      <c r="E300" s="18"/>
      <c r="F300" s="18"/>
    </row>
    <row r="301" ht="15.75" customHeight="1">
      <c r="A301" s="18"/>
      <c r="B301" s="18"/>
      <c r="C301" s="18"/>
      <c r="D301" s="18"/>
      <c r="E301" s="18"/>
      <c r="F301" s="18"/>
    </row>
    <row r="302" ht="15.75" customHeight="1">
      <c r="A302" s="18"/>
      <c r="B302" s="18"/>
      <c r="C302" s="18"/>
      <c r="D302" s="18"/>
      <c r="E302" s="18"/>
      <c r="F302" s="18"/>
    </row>
    <row r="303" ht="15.75" customHeight="1">
      <c r="A303" s="18"/>
      <c r="B303" s="18"/>
      <c r="C303" s="18"/>
      <c r="D303" s="18"/>
      <c r="E303" s="18"/>
      <c r="F303" s="18"/>
    </row>
    <row r="304" ht="15.75" customHeight="1">
      <c r="A304" s="18"/>
      <c r="B304" s="18"/>
      <c r="C304" s="18"/>
      <c r="D304" s="18"/>
      <c r="E304" s="18"/>
      <c r="F304" s="18"/>
    </row>
    <row r="305" ht="15.75" customHeight="1">
      <c r="A305" s="18"/>
      <c r="B305" s="18"/>
      <c r="C305" s="18"/>
      <c r="D305" s="18"/>
      <c r="E305" s="18"/>
      <c r="F305" s="18"/>
    </row>
    <row r="306" ht="15.75" customHeight="1">
      <c r="A306" s="18"/>
      <c r="B306" s="18"/>
      <c r="C306" s="18"/>
      <c r="D306" s="18"/>
      <c r="E306" s="18"/>
      <c r="F306" s="18"/>
    </row>
    <row r="307" ht="15.75" customHeight="1">
      <c r="A307" s="18"/>
      <c r="B307" s="18"/>
      <c r="C307" s="18"/>
      <c r="D307" s="18"/>
      <c r="E307" s="18"/>
      <c r="F307" s="18"/>
    </row>
    <row r="308" ht="15.75" customHeight="1">
      <c r="A308" s="18"/>
      <c r="B308" s="18"/>
      <c r="C308" s="18"/>
      <c r="D308" s="18"/>
      <c r="E308" s="18"/>
      <c r="F308" s="18"/>
    </row>
    <row r="309" ht="15.75" customHeight="1">
      <c r="A309" s="18"/>
      <c r="B309" s="18"/>
      <c r="C309" s="18"/>
      <c r="D309" s="18"/>
      <c r="E309" s="18"/>
      <c r="F309" s="18"/>
    </row>
    <row r="310" ht="15.75" customHeight="1">
      <c r="A310" s="18"/>
      <c r="B310" s="18"/>
      <c r="C310" s="18"/>
      <c r="D310" s="18"/>
      <c r="E310" s="18"/>
      <c r="F310" s="18"/>
    </row>
    <row r="311" ht="15.75" customHeight="1">
      <c r="A311" s="18"/>
      <c r="B311" s="18"/>
      <c r="C311" s="18"/>
      <c r="D311" s="18"/>
      <c r="E311" s="18"/>
      <c r="F311" s="18"/>
    </row>
    <row r="312" ht="15.75" customHeight="1">
      <c r="A312" s="18"/>
      <c r="B312" s="18"/>
      <c r="C312" s="18"/>
      <c r="D312" s="18"/>
      <c r="E312" s="18"/>
      <c r="F312" s="18"/>
    </row>
    <row r="313" ht="15.75" customHeight="1">
      <c r="A313" s="18"/>
      <c r="B313" s="18"/>
      <c r="C313" s="18"/>
      <c r="D313" s="18"/>
      <c r="E313" s="18"/>
      <c r="F313" s="18"/>
    </row>
    <row r="314" ht="15.75" customHeight="1">
      <c r="A314" s="18"/>
      <c r="B314" s="18"/>
      <c r="C314" s="18"/>
      <c r="D314" s="18"/>
      <c r="E314" s="18"/>
      <c r="F314" s="18"/>
    </row>
    <row r="315" ht="15.75" customHeight="1">
      <c r="A315" s="18"/>
      <c r="B315" s="18"/>
      <c r="C315" s="18"/>
      <c r="D315" s="18"/>
      <c r="E315" s="18"/>
      <c r="F315" s="18"/>
    </row>
    <row r="316" ht="15.75" customHeight="1">
      <c r="A316" s="18"/>
      <c r="B316" s="18"/>
      <c r="C316" s="18"/>
      <c r="D316" s="18"/>
      <c r="E316" s="18"/>
      <c r="F316" s="18"/>
    </row>
    <row r="317" ht="15.75" customHeight="1">
      <c r="A317" s="18"/>
      <c r="B317" s="18"/>
      <c r="C317" s="18"/>
      <c r="D317" s="18"/>
      <c r="E317" s="18"/>
      <c r="F317" s="18"/>
    </row>
    <row r="318" ht="15.75" customHeight="1">
      <c r="A318" s="18"/>
      <c r="B318" s="18"/>
      <c r="C318" s="18"/>
      <c r="D318" s="18"/>
      <c r="E318" s="18"/>
      <c r="F318" s="18"/>
    </row>
    <row r="319" ht="15.75" customHeight="1">
      <c r="A319" s="18"/>
      <c r="B319" s="18"/>
      <c r="C319" s="18"/>
      <c r="D319" s="18"/>
      <c r="E319" s="18"/>
      <c r="F319" s="18"/>
    </row>
    <row r="320" ht="15.75" customHeight="1">
      <c r="A320" s="18"/>
      <c r="B320" s="18"/>
      <c r="C320" s="18"/>
      <c r="D320" s="18"/>
      <c r="E320" s="18"/>
      <c r="F320" s="18"/>
    </row>
    <row r="321" ht="15.75" customHeight="1">
      <c r="A321" s="18"/>
      <c r="B321" s="18"/>
      <c r="C321" s="18"/>
      <c r="D321" s="18"/>
      <c r="E321" s="18"/>
      <c r="F321" s="18"/>
    </row>
    <row r="322" ht="15.75" customHeight="1">
      <c r="A322" s="18"/>
      <c r="B322" s="18"/>
      <c r="C322" s="18"/>
      <c r="D322" s="18"/>
      <c r="E322" s="18"/>
      <c r="F322" s="18"/>
    </row>
    <row r="323" ht="15.75" customHeight="1">
      <c r="A323" s="18"/>
      <c r="B323" s="18"/>
      <c r="C323" s="18"/>
      <c r="D323" s="18"/>
      <c r="E323" s="18"/>
      <c r="F323" s="18"/>
    </row>
    <row r="324" ht="15.75" customHeight="1">
      <c r="A324" s="18"/>
      <c r="B324" s="18"/>
      <c r="C324" s="18"/>
      <c r="D324" s="18"/>
      <c r="E324" s="18"/>
      <c r="F324" s="18"/>
    </row>
    <row r="325" ht="15.75" customHeight="1">
      <c r="A325" s="18"/>
      <c r="B325" s="18"/>
      <c r="C325" s="18"/>
      <c r="D325" s="18"/>
      <c r="E325" s="18"/>
      <c r="F325" s="18"/>
    </row>
    <row r="326" ht="15.75" customHeight="1">
      <c r="A326" s="18"/>
      <c r="B326" s="18"/>
      <c r="C326" s="18"/>
      <c r="D326" s="18"/>
      <c r="E326" s="18"/>
      <c r="F326" s="18"/>
    </row>
    <row r="327" ht="15.75" customHeight="1">
      <c r="A327" s="18"/>
      <c r="B327" s="18"/>
      <c r="C327" s="18"/>
      <c r="D327" s="18"/>
      <c r="E327" s="18"/>
      <c r="F327" s="18"/>
    </row>
    <row r="328" ht="15.75" customHeight="1">
      <c r="A328" s="18"/>
      <c r="B328" s="18"/>
      <c r="C328" s="18"/>
      <c r="D328" s="18"/>
      <c r="E328" s="18"/>
      <c r="F328" s="18"/>
    </row>
    <row r="329" ht="15.75" customHeight="1">
      <c r="A329" s="18"/>
      <c r="B329" s="18"/>
      <c r="C329" s="18"/>
      <c r="D329" s="18"/>
      <c r="E329" s="18"/>
      <c r="F329" s="18"/>
    </row>
    <row r="330" ht="15.75" customHeight="1">
      <c r="A330" s="18"/>
      <c r="B330" s="18"/>
      <c r="C330" s="18"/>
      <c r="D330" s="18"/>
      <c r="E330" s="18"/>
      <c r="F330" s="18"/>
    </row>
    <row r="331" ht="15.75" customHeight="1">
      <c r="A331" s="18"/>
      <c r="B331" s="18"/>
      <c r="C331" s="18"/>
      <c r="D331" s="18"/>
      <c r="E331" s="18"/>
      <c r="F331" s="18"/>
    </row>
    <row r="332" ht="15.75" customHeight="1">
      <c r="A332" s="18"/>
      <c r="B332" s="18"/>
      <c r="C332" s="18"/>
      <c r="D332" s="18"/>
      <c r="E332" s="18"/>
      <c r="F332" s="18"/>
    </row>
    <row r="333" ht="15.75" customHeight="1">
      <c r="A333" s="18"/>
      <c r="B333" s="18"/>
      <c r="C333" s="18"/>
      <c r="D333" s="18"/>
      <c r="E333" s="18"/>
      <c r="F333" s="18"/>
    </row>
    <row r="334" ht="15.75" customHeight="1">
      <c r="A334" s="18"/>
      <c r="B334" s="18"/>
      <c r="C334" s="18"/>
      <c r="D334" s="18"/>
      <c r="E334" s="18"/>
      <c r="F334" s="18"/>
    </row>
    <row r="335" ht="15.75" customHeight="1">
      <c r="A335" s="18"/>
      <c r="B335" s="18"/>
      <c r="C335" s="18"/>
      <c r="D335" s="18"/>
      <c r="E335" s="18"/>
      <c r="F335" s="18"/>
    </row>
    <row r="336" ht="15.75" customHeight="1">
      <c r="A336" s="18"/>
      <c r="B336" s="18"/>
      <c r="C336" s="18"/>
      <c r="D336" s="18"/>
      <c r="E336" s="18"/>
      <c r="F336" s="18"/>
    </row>
    <row r="337" ht="15.75" customHeight="1">
      <c r="A337" s="18"/>
      <c r="B337" s="18"/>
      <c r="C337" s="18"/>
      <c r="D337" s="18"/>
      <c r="E337" s="18"/>
      <c r="F337" s="18"/>
    </row>
    <row r="338" ht="15.75" customHeight="1">
      <c r="A338" s="18"/>
      <c r="B338" s="18"/>
      <c r="C338" s="18"/>
      <c r="D338" s="18"/>
      <c r="E338" s="18"/>
      <c r="F338" s="18"/>
    </row>
    <row r="339" ht="15.75" customHeight="1">
      <c r="A339" s="18"/>
      <c r="B339" s="18"/>
      <c r="C339" s="18"/>
      <c r="D339" s="18"/>
      <c r="E339" s="18"/>
      <c r="F339" s="18"/>
    </row>
    <row r="340" ht="15.75" customHeight="1">
      <c r="A340" s="18"/>
      <c r="B340" s="18"/>
      <c r="C340" s="18"/>
      <c r="D340" s="18"/>
      <c r="E340" s="18"/>
      <c r="F340" s="18"/>
    </row>
    <row r="341" ht="15.75" customHeight="1">
      <c r="A341" s="18"/>
      <c r="B341" s="18"/>
      <c r="C341" s="18"/>
      <c r="D341" s="18"/>
      <c r="E341" s="18"/>
      <c r="F341" s="18"/>
    </row>
    <row r="342" ht="15.75" customHeight="1">
      <c r="A342" s="18"/>
      <c r="B342" s="18"/>
      <c r="C342" s="18"/>
      <c r="D342" s="18"/>
      <c r="E342" s="18"/>
      <c r="F342" s="18"/>
    </row>
    <row r="343" ht="15.75" customHeight="1">
      <c r="A343" s="18"/>
      <c r="B343" s="18"/>
      <c r="C343" s="18"/>
      <c r="D343" s="18"/>
      <c r="E343" s="18"/>
      <c r="F343" s="18"/>
    </row>
    <row r="344" ht="15.75" customHeight="1">
      <c r="A344" s="18"/>
      <c r="B344" s="18"/>
      <c r="C344" s="18"/>
      <c r="D344" s="18"/>
      <c r="E344" s="18"/>
      <c r="F344" s="18"/>
    </row>
    <row r="345" ht="15.75" customHeight="1">
      <c r="A345" s="18"/>
      <c r="B345" s="18"/>
      <c r="C345" s="18"/>
      <c r="D345" s="18"/>
      <c r="E345" s="18"/>
      <c r="F345" s="18"/>
    </row>
    <row r="346" ht="15.75" customHeight="1">
      <c r="A346" s="18"/>
      <c r="B346" s="18"/>
      <c r="C346" s="18"/>
      <c r="D346" s="18"/>
      <c r="E346" s="18"/>
      <c r="F346" s="18"/>
    </row>
    <row r="347" ht="15.75" customHeight="1">
      <c r="A347" s="18"/>
      <c r="B347" s="18"/>
      <c r="C347" s="18"/>
      <c r="D347" s="18"/>
      <c r="E347" s="18"/>
      <c r="F347" s="18"/>
    </row>
    <row r="348" ht="15.75" customHeight="1">
      <c r="A348" s="18"/>
      <c r="B348" s="18"/>
      <c r="C348" s="18"/>
      <c r="D348" s="18"/>
      <c r="E348" s="18"/>
      <c r="F348" s="18"/>
    </row>
    <row r="349" ht="15.75" customHeight="1">
      <c r="A349" s="18"/>
      <c r="B349" s="18"/>
      <c r="C349" s="18"/>
      <c r="D349" s="18"/>
      <c r="E349" s="18"/>
      <c r="F349" s="18"/>
    </row>
    <row r="350" ht="15.75" customHeight="1">
      <c r="A350" s="18"/>
      <c r="B350" s="18"/>
      <c r="C350" s="18"/>
      <c r="D350" s="18"/>
      <c r="E350" s="18"/>
      <c r="F350" s="18"/>
    </row>
    <row r="351" ht="15.75" customHeight="1">
      <c r="A351" s="18"/>
      <c r="B351" s="18"/>
      <c r="C351" s="18"/>
      <c r="D351" s="18"/>
      <c r="E351" s="18"/>
      <c r="F351" s="18"/>
    </row>
    <row r="352" ht="15.75" customHeight="1">
      <c r="A352" s="18"/>
      <c r="B352" s="18"/>
      <c r="C352" s="18"/>
      <c r="D352" s="18"/>
      <c r="E352" s="18"/>
      <c r="F352" s="18"/>
    </row>
    <row r="353" ht="15.75" customHeight="1">
      <c r="A353" s="18"/>
      <c r="B353" s="18"/>
      <c r="C353" s="18"/>
      <c r="D353" s="18"/>
      <c r="E353" s="18"/>
      <c r="F353" s="18"/>
    </row>
    <row r="354" ht="15.75" customHeight="1">
      <c r="A354" s="18"/>
      <c r="B354" s="18"/>
      <c r="C354" s="18"/>
      <c r="D354" s="18"/>
      <c r="E354" s="18"/>
      <c r="F354" s="18"/>
    </row>
    <row r="355" ht="15.75" customHeight="1">
      <c r="A355" s="18"/>
      <c r="B355" s="18"/>
      <c r="C355" s="18"/>
      <c r="D355" s="18"/>
      <c r="E355" s="18"/>
      <c r="F355" s="18"/>
    </row>
    <row r="356" ht="15.75" customHeight="1">
      <c r="A356" s="18"/>
      <c r="B356" s="18"/>
      <c r="C356" s="18"/>
      <c r="D356" s="18"/>
      <c r="E356" s="18"/>
      <c r="F356" s="18"/>
    </row>
    <row r="357" ht="15.75" customHeight="1">
      <c r="A357" s="18"/>
      <c r="B357" s="18"/>
      <c r="C357" s="18"/>
      <c r="D357" s="18"/>
      <c r="E357" s="18"/>
      <c r="F357" s="18"/>
    </row>
    <row r="358" ht="15.75" customHeight="1">
      <c r="A358" s="18"/>
      <c r="B358" s="18"/>
      <c r="C358" s="18"/>
      <c r="D358" s="18"/>
      <c r="E358" s="18"/>
      <c r="F358" s="18"/>
    </row>
    <row r="359" ht="15.75" customHeight="1">
      <c r="A359" s="18"/>
      <c r="B359" s="18"/>
      <c r="C359" s="18"/>
      <c r="D359" s="18"/>
      <c r="E359" s="18"/>
      <c r="F359" s="18"/>
    </row>
    <row r="360" ht="15.75" customHeight="1">
      <c r="A360" s="18"/>
      <c r="B360" s="18"/>
      <c r="C360" s="18"/>
      <c r="D360" s="18"/>
      <c r="E360" s="18"/>
      <c r="F360" s="18"/>
    </row>
    <row r="361" ht="15.75" customHeight="1">
      <c r="A361" s="18"/>
      <c r="B361" s="18"/>
      <c r="C361" s="18"/>
      <c r="D361" s="18"/>
      <c r="E361" s="18"/>
      <c r="F361" s="18"/>
    </row>
    <row r="362" ht="15.75" customHeight="1">
      <c r="A362" s="18"/>
      <c r="B362" s="18"/>
      <c r="C362" s="18"/>
      <c r="D362" s="18"/>
      <c r="E362" s="18"/>
      <c r="F362" s="18"/>
    </row>
    <row r="363" ht="15.75" customHeight="1">
      <c r="A363" s="18"/>
      <c r="B363" s="18"/>
      <c r="C363" s="18"/>
      <c r="D363" s="18"/>
      <c r="E363" s="18"/>
      <c r="F363" s="18"/>
    </row>
    <row r="364" ht="15.75" customHeight="1">
      <c r="A364" s="18"/>
      <c r="B364" s="18"/>
      <c r="C364" s="18"/>
      <c r="D364" s="18"/>
      <c r="E364" s="18"/>
      <c r="F364" s="18"/>
    </row>
    <row r="365" ht="15.75" customHeight="1">
      <c r="A365" s="18"/>
      <c r="B365" s="18"/>
      <c r="C365" s="18"/>
      <c r="D365" s="18"/>
      <c r="E365" s="18"/>
      <c r="F365" s="18"/>
    </row>
    <row r="366" ht="15.75" customHeight="1">
      <c r="A366" s="18"/>
      <c r="B366" s="18"/>
      <c r="C366" s="18"/>
      <c r="D366" s="18"/>
      <c r="E366" s="18"/>
      <c r="F366" s="18"/>
    </row>
    <row r="367" ht="15.75" customHeight="1">
      <c r="A367" s="18"/>
      <c r="B367" s="18"/>
      <c r="C367" s="18"/>
      <c r="D367" s="18"/>
      <c r="E367" s="18"/>
      <c r="F367" s="18"/>
    </row>
    <row r="368" ht="15.75" customHeight="1">
      <c r="A368" s="18"/>
      <c r="B368" s="18"/>
      <c r="C368" s="18"/>
      <c r="D368" s="18"/>
      <c r="E368" s="18"/>
      <c r="F368" s="18"/>
    </row>
    <row r="369" ht="15.75" customHeight="1">
      <c r="A369" s="18"/>
      <c r="B369" s="18"/>
      <c r="C369" s="18"/>
      <c r="D369" s="18"/>
      <c r="E369" s="18"/>
      <c r="F369" s="18"/>
    </row>
    <row r="370" ht="15.75" customHeight="1">
      <c r="A370" s="18"/>
      <c r="B370" s="18"/>
      <c r="C370" s="18"/>
      <c r="D370" s="18"/>
      <c r="E370" s="18"/>
      <c r="F370" s="18"/>
    </row>
    <row r="371" ht="15.75" customHeight="1">
      <c r="A371" s="18"/>
      <c r="B371" s="18"/>
      <c r="C371" s="18"/>
      <c r="D371" s="18"/>
      <c r="E371" s="18"/>
      <c r="F371" s="18"/>
    </row>
    <row r="372" ht="15.75" customHeight="1">
      <c r="A372" s="18"/>
      <c r="B372" s="18"/>
      <c r="C372" s="18"/>
      <c r="D372" s="18"/>
      <c r="E372" s="18"/>
      <c r="F372" s="18"/>
    </row>
    <row r="373" ht="15.75" customHeight="1">
      <c r="A373" s="18"/>
      <c r="B373" s="18"/>
      <c r="C373" s="18"/>
      <c r="D373" s="18"/>
      <c r="E373" s="18"/>
      <c r="F373" s="18"/>
    </row>
    <row r="374" ht="15.75" customHeight="1">
      <c r="A374" s="18"/>
      <c r="B374" s="18"/>
      <c r="C374" s="18"/>
      <c r="D374" s="18"/>
      <c r="E374" s="18"/>
      <c r="F374" s="18"/>
    </row>
    <row r="375" ht="15.75" customHeight="1">
      <c r="A375" s="18"/>
      <c r="B375" s="18"/>
      <c r="C375" s="18"/>
      <c r="D375" s="18"/>
      <c r="E375" s="18"/>
      <c r="F375" s="18"/>
    </row>
    <row r="376" ht="15.75" customHeight="1">
      <c r="A376" s="18"/>
      <c r="B376" s="18"/>
      <c r="C376" s="18"/>
      <c r="D376" s="18"/>
      <c r="E376" s="18"/>
      <c r="F376" s="18"/>
    </row>
    <row r="377" ht="15.75" customHeight="1">
      <c r="A377" s="18"/>
      <c r="B377" s="18"/>
      <c r="C377" s="18"/>
      <c r="D377" s="18"/>
      <c r="E377" s="18"/>
      <c r="F377" s="18"/>
    </row>
    <row r="378" ht="15.75" customHeight="1">
      <c r="A378" s="18"/>
      <c r="B378" s="18"/>
      <c r="C378" s="18"/>
      <c r="D378" s="18"/>
      <c r="E378" s="18"/>
      <c r="F378" s="18"/>
    </row>
    <row r="379" ht="15.75" customHeight="1">
      <c r="A379" s="18"/>
      <c r="B379" s="18"/>
      <c r="C379" s="18"/>
      <c r="D379" s="18"/>
      <c r="E379" s="18"/>
      <c r="F379" s="18"/>
    </row>
    <row r="380" ht="15.75" customHeight="1">
      <c r="A380" s="18"/>
      <c r="B380" s="18"/>
      <c r="C380" s="18"/>
      <c r="D380" s="18"/>
      <c r="E380" s="18"/>
      <c r="F380" s="18"/>
    </row>
    <row r="381" ht="15.75" customHeight="1">
      <c r="A381" s="18"/>
      <c r="B381" s="18"/>
      <c r="C381" s="18"/>
      <c r="D381" s="18"/>
      <c r="E381" s="18"/>
      <c r="F381" s="18"/>
    </row>
    <row r="382" ht="15.75" customHeight="1">
      <c r="A382" s="18"/>
      <c r="B382" s="18"/>
      <c r="C382" s="18"/>
      <c r="D382" s="18"/>
      <c r="E382" s="18"/>
      <c r="F382" s="18"/>
    </row>
    <row r="383" ht="15.75" customHeight="1">
      <c r="A383" s="18"/>
      <c r="B383" s="18"/>
      <c r="C383" s="18"/>
      <c r="D383" s="18"/>
      <c r="E383" s="18"/>
      <c r="F383" s="18"/>
    </row>
    <row r="384" ht="15.75" customHeight="1">
      <c r="A384" s="18"/>
      <c r="B384" s="18"/>
      <c r="C384" s="18"/>
      <c r="D384" s="18"/>
      <c r="E384" s="18"/>
      <c r="F384" s="18"/>
    </row>
    <row r="385" ht="15.75" customHeight="1">
      <c r="A385" s="18"/>
      <c r="B385" s="18"/>
      <c r="C385" s="18"/>
      <c r="D385" s="18"/>
      <c r="E385" s="18"/>
      <c r="F385" s="18"/>
    </row>
    <row r="386" ht="15.75" customHeight="1">
      <c r="A386" s="18"/>
      <c r="B386" s="18"/>
      <c r="C386" s="18"/>
      <c r="D386" s="18"/>
      <c r="E386" s="18"/>
      <c r="F386" s="18"/>
    </row>
    <row r="387" ht="15.75" customHeight="1">
      <c r="A387" s="18"/>
      <c r="B387" s="18"/>
      <c r="C387" s="18"/>
      <c r="D387" s="18"/>
      <c r="E387" s="18"/>
      <c r="F387" s="18"/>
    </row>
    <row r="388" ht="15.75" customHeight="1">
      <c r="A388" s="18"/>
      <c r="B388" s="18"/>
      <c r="C388" s="18"/>
      <c r="D388" s="18"/>
      <c r="E388" s="18"/>
      <c r="F388" s="18"/>
    </row>
    <row r="389" ht="15.75" customHeight="1">
      <c r="A389" s="18"/>
      <c r="B389" s="18"/>
      <c r="C389" s="18"/>
      <c r="D389" s="18"/>
      <c r="E389" s="18"/>
      <c r="F389" s="18"/>
    </row>
    <row r="390" ht="15.75" customHeight="1">
      <c r="A390" s="18"/>
      <c r="B390" s="18"/>
      <c r="C390" s="18"/>
      <c r="D390" s="18"/>
      <c r="E390" s="18"/>
      <c r="F390" s="18"/>
    </row>
    <row r="391" ht="15.75" customHeight="1">
      <c r="A391" s="18"/>
      <c r="B391" s="18"/>
      <c r="C391" s="18"/>
      <c r="D391" s="18"/>
      <c r="E391" s="18"/>
      <c r="F391" s="18"/>
    </row>
    <row r="392" ht="15.75" customHeight="1">
      <c r="A392" s="18"/>
      <c r="B392" s="18"/>
      <c r="C392" s="18"/>
      <c r="D392" s="18"/>
      <c r="E392" s="18"/>
      <c r="F392" s="18"/>
    </row>
    <row r="393" ht="15.75" customHeight="1">
      <c r="A393" s="18"/>
      <c r="B393" s="18"/>
      <c r="C393" s="18"/>
      <c r="D393" s="18"/>
      <c r="E393" s="18"/>
      <c r="F393" s="18"/>
    </row>
    <row r="394" ht="15.75" customHeight="1">
      <c r="A394" s="18"/>
      <c r="B394" s="18"/>
      <c r="C394" s="18"/>
      <c r="D394" s="18"/>
      <c r="E394" s="18"/>
      <c r="F394" s="18"/>
    </row>
    <row r="395" ht="15.75" customHeight="1">
      <c r="A395" s="18"/>
      <c r="B395" s="18"/>
      <c r="C395" s="18"/>
      <c r="D395" s="18"/>
      <c r="E395" s="18"/>
      <c r="F395" s="18"/>
    </row>
    <row r="396" ht="15.75" customHeight="1">
      <c r="A396" s="18"/>
      <c r="B396" s="18"/>
      <c r="C396" s="18"/>
      <c r="D396" s="18"/>
      <c r="E396" s="18"/>
      <c r="F396" s="18"/>
    </row>
    <row r="397" ht="15.75" customHeight="1">
      <c r="A397" s="18"/>
      <c r="B397" s="18"/>
      <c r="C397" s="18"/>
      <c r="D397" s="18"/>
      <c r="E397" s="18"/>
      <c r="F397" s="18"/>
    </row>
    <row r="398" ht="15.75" customHeight="1">
      <c r="A398" s="18"/>
      <c r="B398" s="18"/>
      <c r="C398" s="18"/>
      <c r="D398" s="18"/>
      <c r="E398" s="18"/>
      <c r="F398" s="18"/>
    </row>
    <row r="399" ht="15.75" customHeight="1">
      <c r="A399" s="18"/>
      <c r="B399" s="18"/>
      <c r="C399" s="18"/>
      <c r="D399" s="18"/>
      <c r="E399" s="18"/>
      <c r="F399" s="18"/>
    </row>
    <row r="400" ht="15.75" customHeight="1">
      <c r="A400" s="18"/>
      <c r="B400" s="18"/>
      <c r="C400" s="18"/>
      <c r="D400" s="18"/>
      <c r="E400" s="18"/>
      <c r="F400" s="18"/>
    </row>
    <row r="401" ht="15.75" customHeight="1">
      <c r="A401" s="18"/>
      <c r="B401" s="18"/>
      <c r="C401" s="18"/>
      <c r="D401" s="18"/>
      <c r="E401" s="18"/>
      <c r="F401" s="18"/>
    </row>
    <row r="402" ht="15.75" customHeight="1">
      <c r="A402" s="18"/>
      <c r="B402" s="18"/>
      <c r="C402" s="18"/>
      <c r="D402" s="18"/>
      <c r="E402" s="18"/>
      <c r="F402" s="18"/>
    </row>
    <row r="403" ht="15.75" customHeight="1">
      <c r="A403" s="18"/>
      <c r="B403" s="18"/>
      <c r="C403" s="18"/>
      <c r="D403" s="18"/>
      <c r="E403" s="18"/>
      <c r="F403" s="18"/>
    </row>
    <row r="404" ht="15.75" customHeight="1">
      <c r="A404" s="18"/>
      <c r="B404" s="18"/>
      <c r="C404" s="18"/>
      <c r="D404" s="18"/>
      <c r="E404" s="18"/>
      <c r="F404" s="18"/>
    </row>
    <row r="405" ht="15.75" customHeight="1">
      <c r="A405" s="18"/>
      <c r="B405" s="18"/>
      <c r="C405" s="18"/>
      <c r="D405" s="18"/>
      <c r="E405" s="18"/>
      <c r="F405" s="18"/>
    </row>
    <row r="406" ht="15.75" customHeight="1">
      <c r="A406" s="18"/>
      <c r="B406" s="18"/>
      <c r="C406" s="18"/>
      <c r="D406" s="18"/>
      <c r="E406" s="18"/>
      <c r="F406" s="18"/>
    </row>
    <row r="407" ht="15.75" customHeight="1">
      <c r="A407" s="18"/>
      <c r="B407" s="18"/>
      <c r="C407" s="18"/>
      <c r="D407" s="18"/>
      <c r="E407" s="18"/>
      <c r="F407" s="18"/>
    </row>
    <row r="408" ht="15.75" customHeight="1">
      <c r="A408" s="18"/>
      <c r="B408" s="18"/>
      <c r="C408" s="18"/>
      <c r="D408" s="18"/>
      <c r="E408" s="18"/>
      <c r="F408" s="18"/>
    </row>
    <row r="409" ht="15.75" customHeight="1">
      <c r="A409" s="18"/>
      <c r="B409" s="18"/>
      <c r="C409" s="18"/>
      <c r="D409" s="18"/>
      <c r="E409" s="18"/>
      <c r="F409" s="18"/>
    </row>
    <row r="410" ht="15.75" customHeight="1">
      <c r="A410" s="18"/>
      <c r="B410" s="18"/>
      <c r="C410" s="18"/>
      <c r="D410" s="18"/>
      <c r="E410" s="18"/>
      <c r="F410" s="18"/>
    </row>
    <row r="411" ht="15.75" customHeight="1">
      <c r="A411" s="18"/>
      <c r="B411" s="18"/>
      <c r="C411" s="18"/>
      <c r="D411" s="18"/>
      <c r="E411" s="18"/>
      <c r="F411" s="18"/>
    </row>
    <row r="412" ht="15.75" customHeight="1">
      <c r="A412" s="18"/>
      <c r="B412" s="18"/>
      <c r="C412" s="18"/>
      <c r="D412" s="18"/>
      <c r="E412" s="18"/>
      <c r="F412" s="18"/>
    </row>
    <row r="413" ht="15.75" customHeight="1">
      <c r="A413" s="18"/>
      <c r="B413" s="18"/>
      <c r="C413" s="18"/>
      <c r="D413" s="18"/>
      <c r="E413" s="18"/>
      <c r="F413" s="18"/>
    </row>
    <row r="414" ht="15.75" customHeight="1">
      <c r="A414" s="18"/>
      <c r="B414" s="18"/>
      <c r="C414" s="18"/>
      <c r="D414" s="18"/>
      <c r="E414" s="18"/>
      <c r="F414" s="18"/>
    </row>
    <row r="415" ht="15.75" customHeight="1">
      <c r="A415" s="18"/>
      <c r="B415" s="18"/>
      <c r="C415" s="18"/>
      <c r="D415" s="18"/>
      <c r="E415" s="18"/>
      <c r="F415" s="18"/>
    </row>
    <row r="416" ht="15.75" customHeight="1">
      <c r="A416" s="18"/>
      <c r="B416" s="18"/>
      <c r="C416" s="18"/>
      <c r="D416" s="18"/>
      <c r="E416" s="18"/>
      <c r="F416" s="18"/>
    </row>
    <row r="417" ht="15.75" customHeight="1">
      <c r="A417" s="18"/>
      <c r="B417" s="18"/>
      <c r="C417" s="18"/>
      <c r="D417" s="18"/>
      <c r="E417" s="18"/>
      <c r="F417" s="18"/>
    </row>
    <row r="418" ht="15.75" customHeight="1">
      <c r="A418" s="18"/>
      <c r="B418" s="18"/>
      <c r="C418" s="18"/>
      <c r="D418" s="18"/>
      <c r="E418" s="18"/>
      <c r="F418" s="18"/>
    </row>
    <row r="419" ht="15.75" customHeight="1">
      <c r="A419" s="18"/>
      <c r="B419" s="18"/>
      <c r="C419" s="18"/>
      <c r="D419" s="18"/>
      <c r="E419" s="18"/>
      <c r="F419" s="18"/>
    </row>
    <row r="420" ht="15.75" customHeight="1">
      <c r="A420" s="18"/>
      <c r="B420" s="18"/>
      <c r="C420" s="18"/>
      <c r="D420" s="18"/>
      <c r="E420" s="18"/>
      <c r="F420" s="18"/>
    </row>
    <row r="421" ht="15.75" customHeight="1">
      <c r="A421" s="18"/>
      <c r="B421" s="18"/>
      <c r="C421" s="18"/>
      <c r="D421" s="18"/>
      <c r="E421" s="18"/>
      <c r="F421" s="18"/>
    </row>
    <row r="422" ht="15.75" customHeight="1">
      <c r="A422" s="18"/>
      <c r="B422" s="18"/>
      <c r="C422" s="18"/>
      <c r="D422" s="18"/>
      <c r="E422" s="18"/>
      <c r="F422" s="18"/>
    </row>
    <row r="423" ht="15.75" customHeight="1">
      <c r="A423" s="18"/>
      <c r="B423" s="18"/>
      <c r="C423" s="18"/>
      <c r="D423" s="18"/>
      <c r="E423" s="18"/>
      <c r="F423" s="18"/>
    </row>
    <row r="424" ht="15.75" customHeight="1">
      <c r="A424" s="18"/>
      <c r="B424" s="18"/>
      <c r="C424" s="18"/>
      <c r="D424" s="18"/>
      <c r="E424" s="18"/>
      <c r="F424" s="18"/>
    </row>
    <row r="425" ht="15.75" customHeight="1">
      <c r="A425" s="18"/>
      <c r="B425" s="18"/>
      <c r="C425" s="18"/>
      <c r="D425" s="18"/>
      <c r="E425" s="18"/>
      <c r="F425" s="18"/>
    </row>
    <row r="426" ht="15.75" customHeight="1">
      <c r="A426" s="18"/>
      <c r="B426" s="18"/>
      <c r="C426" s="18"/>
      <c r="D426" s="18"/>
      <c r="E426" s="18"/>
      <c r="F426" s="18"/>
    </row>
    <row r="427" ht="15.75" customHeight="1">
      <c r="A427" s="18"/>
      <c r="B427" s="18"/>
      <c r="C427" s="18"/>
      <c r="D427" s="18"/>
      <c r="E427" s="18"/>
      <c r="F427" s="18"/>
    </row>
    <row r="428" ht="15.75" customHeight="1">
      <c r="A428" s="18"/>
      <c r="B428" s="18"/>
      <c r="C428" s="18"/>
      <c r="D428" s="18"/>
      <c r="E428" s="18"/>
      <c r="F428" s="18"/>
    </row>
    <row r="429" ht="15.75" customHeight="1">
      <c r="A429" s="18"/>
      <c r="B429" s="18"/>
      <c r="C429" s="18"/>
      <c r="D429" s="18"/>
      <c r="E429" s="18"/>
      <c r="F429" s="18"/>
    </row>
    <row r="430" ht="15.75" customHeight="1">
      <c r="A430" s="18"/>
      <c r="B430" s="18"/>
      <c r="C430" s="18"/>
      <c r="D430" s="18"/>
      <c r="E430" s="18"/>
      <c r="F430" s="18"/>
    </row>
    <row r="431" ht="15.75" customHeight="1">
      <c r="A431" s="18"/>
      <c r="B431" s="18"/>
      <c r="C431" s="18"/>
      <c r="D431" s="18"/>
      <c r="E431" s="18"/>
      <c r="F431" s="18"/>
    </row>
    <row r="432" ht="15.75" customHeight="1">
      <c r="A432" s="18"/>
      <c r="B432" s="18"/>
      <c r="C432" s="18"/>
      <c r="D432" s="18"/>
      <c r="E432" s="18"/>
      <c r="F432" s="18"/>
    </row>
    <row r="433" ht="15.75" customHeight="1">
      <c r="A433" s="18"/>
      <c r="B433" s="18"/>
      <c r="C433" s="18"/>
      <c r="D433" s="18"/>
      <c r="E433" s="18"/>
      <c r="F433" s="18"/>
    </row>
    <row r="434" ht="15.75" customHeight="1">
      <c r="A434" s="18"/>
      <c r="B434" s="18"/>
      <c r="C434" s="18"/>
      <c r="D434" s="18"/>
      <c r="E434" s="18"/>
      <c r="F434" s="18"/>
    </row>
    <row r="435" ht="15.75" customHeight="1">
      <c r="A435" s="18"/>
      <c r="B435" s="18"/>
      <c r="C435" s="18"/>
      <c r="D435" s="18"/>
      <c r="E435" s="18"/>
      <c r="F435" s="18"/>
    </row>
    <row r="436" ht="15.75" customHeight="1">
      <c r="A436" s="18"/>
      <c r="B436" s="18"/>
      <c r="C436" s="18"/>
      <c r="D436" s="18"/>
      <c r="E436" s="18"/>
      <c r="F436" s="18"/>
    </row>
    <row r="437" ht="15.75" customHeight="1">
      <c r="A437" s="18"/>
      <c r="B437" s="18"/>
      <c r="C437" s="18"/>
      <c r="D437" s="18"/>
      <c r="E437" s="18"/>
      <c r="F437" s="18"/>
    </row>
    <row r="438" ht="15.75" customHeight="1">
      <c r="A438" s="18"/>
      <c r="B438" s="18"/>
      <c r="C438" s="18"/>
      <c r="D438" s="18"/>
      <c r="E438" s="18"/>
      <c r="F438" s="18"/>
    </row>
    <row r="439" ht="15.75" customHeight="1">
      <c r="A439" s="18"/>
      <c r="B439" s="18"/>
      <c r="C439" s="18"/>
      <c r="D439" s="18"/>
      <c r="E439" s="18"/>
      <c r="F439" s="18"/>
    </row>
    <row r="440" ht="15.75" customHeight="1">
      <c r="A440" s="18"/>
      <c r="B440" s="18"/>
      <c r="C440" s="18"/>
      <c r="D440" s="18"/>
      <c r="E440" s="18"/>
      <c r="F440" s="18"/>
    </row>
    <row r="441" ht="15.75" customHeight="1">
      <c r="A441" s="18"/>
      <c r="B441" s="18"/>
      <c r="C441" s="18"/>
      <c r="D441" s="18"/>
      <c r="E441" s="18"/>
      <c r="F441" s="18"/>
    </row>
    <row r="442" ht="15.75" customHeight="1">
      <c r="A442" s="18"/>
      <c r="B442" s="18"/>
      <c r="C442" s="18"/>
      <c r="D442" s="18"/>
      <c r="E442" s="18"/>
      <c r="F442" s="18"/>
    </row>
    <row r="443" ht="15.75" customHeight="1">
      <c r="A443" s="18"/>
      <c r="B443" s="18"/>
      <c r="C443" s="18"/>
      <c r="D443" s="18"/>
      <c r="E443" s="18"/>
      <c r="F443" s="18"/>
    </row>
    <row r="444" ht="15.75" customHeight="1">
      <c r="A444" s="18"/>
      <c r="B444" s="18"/>
      <c r="C444" s="18"/>
      <c r="D444" s="18"/>
      <c r="E444" s="18"/>
      <c r="F444" s="18"/>
    </row>
    <row r="445" ht="15.75" customHeight="1">
      <c r="A445" s="18"/>
      <c r="B445" s="18"/>
      <c r="C445" s="18"/>
      <c r="D445" s="18"/>
      <c r="E445" s="18"/>
      <c r="F445" s="18"/>
    </row>
    <row r="446" ht="15.75" customHeight="1">
      <c r="A446" s="18"/>
      <c r="B446" s="18"/>
      <c r="C446" s="18"/>
      <c r="D446" s="18"/>
      <c r="E446" s="18"/>
      <c r="F446" s="18"/>
    </row>
    <row r="447" ht="15.75" customHeight="1">
      <c r="A447" s="18"/>
      <c r="B447" s="18"/>
      <c r="C447" s="18"/>
      <c r="D447" s="18"/>
      <c r="E447" s="18"/>
      <c r="F447" s="18"/>
    </row>
    <row r="448" ht="15.75" customHeight="1">
      <c r="A448" s="18"/>
      <c r="B448" s="18"/>
      <c r="C448" s="18"/>
      <c r="D448" s="18"/>
      <c r="E448" s="18"/>
      <c r="F448" s="18"/>
    </row>
    <row r="449" ht="15.75" customHeight="1">
      <c r="A449" s="18"/>
      <c r="B449" s="18"/>
      <c r="C449" s="18"/>
      <c r="D449" s="18"/>
      <c r="E449" s="18"/>
      <c r="F449" s="18"/>
    </row>
    <row r="450" ht="15.75" customHeight="1">
      <c r="A450" s="18"/>
      <c r="B450" s="18"/>
      <c r="C450" s="18"/>
      <c r="D450" s="18"/>
      <c r="E450" s="18"/>
      <c r="F450" s="18"/>
    </row>
    <row r="451" ht="15.75" customHeight="1">
      <c r="A451" s="18"/>
      <c r="B451" s="18"/>
      <c r="C451" s="18"/>
      <c r="D451" s="18"/>
      <c r="E451" s="18"/>
      <c r="F451" s="18"/>
    </row>
    <row r="452" ht="15.75" customHeight="1">
      <c r="A452" s="18"/>
      <c r="B452" s="18"/>
      <c r="C452" s="18"/>
      <c r="D452" s="18"/>
      <c r="E452" s="18"/>
      <c r="F452" s="18"/>
    </row>
    <row r="453" ht="15.75" customHeight="1">
      <c r="A453" s="18"/>
      <c r="B453" s="18"/>
      <c r="C453" s="18"/>
      <c r="D453" s="18"/>
      <c r="E453" s="18"/>
      <c r="F453" s="18"/>
    </row>
    <row r="454" ht="15.75" customHeight="1">
      <c r="A454" s="18"/>
      <c r="B454" s="18"/>
      <c r="C454" s="18"/>
      <c r="D454" s="18"/>
      <c r="E454" s="18"/>
      <c r="F454" s="18"/>
    </row>
    <row r="455" ht="15.75" customHeight="1">
      <c r="A455" s="18"/>
      <c r="B455" s="18"/>
      <c r="C455" s="18"/>
      <c r="D455" s="18"/>
      <c r="E455" s="18"/>
      <c r="F455" s="18"/>
    </row>
    <row r="456" ht="15.75" customHeight="1">
      <c r="A456" s="18"/>
      <c r="B456" s="18"/>
      <c r="C456" s="18"/>
      <c r="D456" s="18"/>
      <c r="E456" s="18"/>
      <c r="F456" s="18"/>
    </row>
    <row r="457" ht="15.75" customHeight="1">
      <c r="A457" s="18"/>
      <c r="B457" s="18"/>
      <c r="C457" s="18"/>
      <c r="D457" s="18"/>
      <c r="E457" s="18"/>
      <c r="F457" s="18"/>
    </row>
    <row r="458" ht="15.75" customHeight="1">
      <c r="A458" s="18"/>
      <c r="B458" s="18"/>
      <c r="C458" s="18"/>
      <c r="D458" s="18"/>
      <c r="E458" s="18"/>
      <c r="F458" s="18"/>
    </row>
    <row r="459" ht="15.75" customHeight="1">
      <c r="A459" s="18"/>
      <c r="B459" s="18"/>
      <c r="C459" s="18"/>
      <c r="D459" s="18"/>
      <c r="E459" s="18"/>
      <c r="F459" s="18"/>
    </row>
    <row r="460" ht="15.75" customHeight="1">
      <c r="A460" s="18"/>
      <c r="B460" s="18"/>
      <c r="C460" s="18"/>
      <c r="D460" s="18"/>
      <c r="E460" s="18"/>
      <c r="F460" s="18"/>
    </row>
    <row r="461" ht="15.75" customHeight="1">
      <c r="A461" s="18"/>
      <c r="B461" s="18"/>
      <c r="C461" s="18"/>
      <c r="D461" s="18"/>
      <c r="E461" s="18"/>
      <c r="F461" s="18"/>
    </row>
    <row r="462" ht="15.75" customHeight="1">
      <c r="A462" s="18"/>
      <c r="B462" s="18"/>
      <c r="C462" s="18"/>
      <c r="D462" s="18"/>
      <c r="E462" s="18"/>
      <c r="F462" s="18"/>
    </row>
    <row r="463" ht="15.75" customHeight="1">
      <c r="A463" s="18"/>
      <c r="B463" s="18"/>
      <c r="C463" s="18"/>
      <c r="D463" s="18"/>
      <c r="E463" s="18"/>
      <c r="F463" s="18"/>
    </row>
    <row r="464" ht="15.75" customHeight="1">
      <c r="A464" s="18"/>
      <c r="B464" s="18"/>
      <c r="C464" s="18"/>
      <c r="D464" s="18"/>
      <c r="E464" s="18"/>
      <c r="F464" s="18"/>
    </row>
    <row r="465" ht="15.75" customHeight="1">
      <c r="A465" s="18"/>
      <c r="B465" s="18"/>
      <c r="C465" s="18"/>
      <c r="D465" s="18"/>
      <c r="E465" s="18"/>
      <c r="F465" s="18"/>
    </row>
    <row r="466" ht="15.75" customHeight="1">
      <c r="A466" s="18"/>
      <c r="B466" s="18"/>
      <c r="C466" s="18"/>
      <c r="D466" s="18"/>
      <c r="E466" s="18"/>
      <c r="F466" s="18"/>
    </row>
    <row r="467" ht="15.75" customHeight="1">
      <c r="A467" s="18"/>
      <c r="B467" s="18"/>
      <c r="C467" s="18"/>
      <c r="D467" s="18"/>
      <c r="E467" s="18"/>
      <c r="F467" s="18"/>
    </row>
    <row r="468" ht="15.75" customHeight="1">
      <c r="A468" s="18"/>
      <c r="B468" s="18"/>
      <c r="C468" s="18"/>
      <c r="D468" s="18"/>
      <c r="E468" s="18"/>
      <c r="F468" s="18"/>
    </row>
    <row r="469" ht="15.75" customHeight="1">
      <c r="A469" s="18"/>
      <c r="B469" s="18"/>
      <c r="C469" s="18"/>
      <c r="D469" s="18"/>
      <c r="E469" s="18"/>
      <c r="F469" s="18"/>
    </row>
    <row r="470" ht="15.75" customHeight="1">
      <c r="A470" s="18"/>
      <c r="B470" s="18"/>
      <c r="C470" s="18"/>
      <c r="D470" s="18"/>
      <c r="E470" s="18"/>
      <c r="F470" s="18"/>
    </row>
    <row r="471" ht="15.75" customHeight="1">
      <c r="A471" s="18"/>
      <c r="B471" s="18"/>
      <c r="C471" s="18"/>
      <c r="D471" s="18"/>
      <c r="E471" s="18"/>
      <c r="F471" s="18"/>
    </row>
    <row r="472" ht="15.75" customHeight="1">
      <c r="A472" s="18"/>
      <c r="B472" s="18"/>
      <c r="C472" s="18"/>
      <c r="D472" s="18"/>
      <c r="E472" s="18"/>
      <c r="F472" s="18"/>
    </row>
    <row r="473" ht="15.75" customHeight="1">
      <c r="A473" s="18"/>
      <c r="B473" s="18"/>
      <c r="C473" s="18"/>
      <c r="D473" s="18"/>
      <c r="E473" s="18"/>
      <c r="F473" s="18"/>
    </row>
    <row r="474" ht="15.75" customHeight="1">
      <c r="A474" s="18"/>
      <c r="B474" s="18"/>
      <c r="C474" s="18"/>
      <c r="D474" s="18"/>
      <c r="E474" s="18"/>
      <c r="F474" s="18"/>
    </row>
    <row r="475" ht="15.75" customHeight="1">
      <c r="A475" s="18"/>
      <c r="B475" s="18"/>
      <c r="C475" s="18"/>
      <c r="D475" s="18"/>
      <c r="E475" s="18"/>
      <c r="F475" s="18"/>
    </row>
    <row r="476" ht="15.75" customHeight="1">
      <c r="A476" s="18"/>
      <c r="B476" s="18"/>
      <c r="C476" s="18"/>
      <c r="D476" s="18"/>
      <c r="E476" s="18"/>
      <c r="F476" s="18"/>
    </row>
    <row r="477" ht="15.75" customHeight="1">
      <c r="A477" s="18"/>
      <c r="B477" s="18"/>
      <c r="C477" s="18"/>
      <c r="D477" s="18"/>
      <c r="E477" s="18"/>
      <c r="F477" s="18"/>
    </row>
    <row r="478" ht="15.75" customHeight="1">
      <c r="A478" s="18"/>
      <c r="B478" s="18"/>
      <c r="C478" s="18"/>
      <c r="D478" s="18"/>
      <c r="E478" s="18"/>
      <c r="F478" s="18"/>
    </row>
    <row r="479" ht="15.75" customHeight="1">
      <c r="A479" s="18"/>
      <c r="B479" s="18"/>
      <c r="C479" s="18"/>
      <c r="D479" s="18"/>
      <c r="E479" s="18"/>
      <c r="F479" s="18"/>
    </row>
    <row r="480" ht="15.75" customHeight="1">
      <c r="A480" s="18"/>
      <c r="B480" s="18"/>
      <c r="C480" s="18"/>
      <c r="D480" s="18"/>
      <c r="E480" s="18"/>
      <c r="F480" s="18"/>
    </row>
    <row r="481" ht="15.75" customHeight="1">
      <c r="A481" s="18"/>
      <c r="B481" s="18"/>
      <c r="C481" s="18"/>
      <c r="D481" s="18"/>
      <c r="E481" s="18"/>
      <c r="F481" s="18"/>
    </row>
    <row r="482" ht="15.75" customHeight="1">
      <c r="A482" s="18"/>
      <c r="B482" s="18"/>
      <c r="C482" s="18"/>
      <c r="D482" s="18"/>
      <c r="E482" s="18"/>
      <c r="F482" s="18"/>
    </row>
    <row r="483" ht="15.75" customHeight="1">
      <c r="A483" s="18"/>
      <c r="B483" s="18"/>
      <c r="C483" s="18"/>
      <c r="D483" s="18"/>
      <c r="E483" s="18"/>
      <c r="F483" s="18"/>
    </row>
    <row r="484" ht="15.75" customHeight="1">
      <c r="A484" s="18"/>
      <c r="B484" s="18"/>
      <c r="C484" s="18"/>
      <c r="D484" s="18"/>
      <c r="E484" s="18"/>
      <c r="F484" s="18"/>
    </row>
    <row r="485" ht="15.75" customHeight="1">
      <c r="A485" s="18"/>
      <c r="B485" s="18"/>
      <c r="C485" s="18"/>
      <c r="D485" s="18"/>
      <c r="E485" s="18"/>
      <c r="F485" s="18"/>
    </row>
    <row r="486" ht="15.75" customHeight="1">
      <c r="A486" s="18"/>
      <c r="B486" s="18"/>
      <c r="C486" s="18"/>
      <c r="D486" s="18"/>
      <c r="E486" s="18"/>
      <c r="F486" s="18"/>
    </row>
    <row r="487" ht="15.75" customHeight="1">
      <c r="A487" s="18"/>
      <c r="B487" s="18"/>
      <c r="C487" s="18"/>
      <c r="D487" s="18"/>
      <c r="E487" s="18"/>
      <c r="F487" s="18"/>
    </row>
    <row r="488" ht="15.75" customHeight="1">
      <c r="A488" s="18"/>
      <c r="B488" s="18"/>
      <c r="C488" s="18"/>
      <c r="D488" s="18"/>
      <c r="E488" s="18"/>
      <c r="F488" s="18"/>
    </row>
    <row r="489" ht="15.75" customHeight="1">
      <c r="A489" s="18"/>
      <c r="B489" s="18"/>
      <c r="C489" s="18"/>
      <c r="D489" s="18"/>
      <c r="E489" s="18"/>
      <c r="F489" s="18"/>
    </row>
    <row r="490" ht="15.75" customHeight="1">
      <c r="A490" s="18"/>
      <c r="B490" s="18"/>
      <c r="C490" s="18"/>
      <c r="D490" s="18"/>
      <c r="E490" s="18"/>
      <c r="F490" s="18"/>
    </row>
    <row r="491" ht="15.75" customHeight="1">
      <c r="A491" s="18"/>
      <c r="B491" s="18"/>
      <c r="C491" s="18"/>
      <c r="D491" s="18"/>
      <c r="E491" s="18"/>
      <c r="F491" s="18"/>
    </row>
    <row r="492" ht="15.75" customHeight="1">
      <c r="A492" s="18"/>
      <c r="B492" s="18"/>
      <c r="C492" s="18"/>
      <c r="D492" s="18"/>
      <c r="E492" s="18"/>
      <c r="F492" s="18"/>
    </row>
    <row r="493" ht="15.75" customHeight="1">
      <c r="A493" s="18"/>
      <c r="B493" s="18"/>
      <c r="C493" s="18"/>
      <c r="D493" s="18"/>
      <c r="E493" s="18"/>
      <c r="F493" s="18"/>
    </row>
    <row r="494" ht="15.75" customHeight="1">
      <c r="A494" s="18"/>
      <c r="B494" s="18"/>
      <c r="C494" s="18"/>
      <c r="D494" s="18"/>
      <c r="E494" s="18"/>
      <c r="F494" s="18"/>
    </row>
    <row r="495" ht="15.75" customHeight="1">
      <c r="A495" s="18"/>
      <c r="B495" s="18"/>
      <c r="C495" s="18"/>
      <c r="D495" s="18"/>
      <c r="E495" s="18"/>
      <c r="F495" s="18"/>
    </row>
    <row r="496" ht="15.75" customHeight="1">
      <c r="A496" s="18"/>
      <c r="B496" s="18"/>
      <c r="C496" s="18"/>
      <c r="D496" s="18"/>
      <c r="E496" s="18"/>
      <c r="F496" s="18"/>
    </row>
    <row r="497" ht="15.75" customHeight="1">
      <c r="A497" s="18"/>
      <c r="B497" s="18"/>
      <c r="C497" s="18"/>
      <c r="D497" s="18"/>
      <c r="E497" s="18"/>
      <c r="F497" s="18"/>
    </row>
    <row r="498" ht="15.75" customHeight="1">
      <c r="A498" s="18"/>
      <c r="B498" s="18"/>
      <c r="C498" s="18"/>
      <c r="D498" s="18"/>
      <c r="E498" s="18"/>
      <c r="F498" s="18"/>
    </row>
    <row r="499" ht="15.75" customHeight="1">
      <c r="A499" s="18"/>
      <c r="B499" s="18"/>
      <c r="C499" s="18"/>
      <c r="D499" s="18"/>
      <c r="E499" s="18"/>
      <c r="F499" s="18"/>
    </row>
    <row r="500" ht="15.75" customHeight="1">
      <c r="A500" s="18"/>
      <c r="B500" s="18"/>
      <c r="C500" s="18"/>
      <c r="D500" s="18"/>
      <c r="E500" s="18"/>
      <c r="F500" s="18"/>
    </row>
    <row r="501" ht="15.75" customHeight="1">
      <c r="A501" s="18"/>
      <c r="B501" s="18"/>
      <c r="C501" s="18"/>
      <c r="D501" s="18"/>
      <c r="E501" s="18"/>
      <c r="F501" s="18"/>
    </row>
    <row r="502" ht="15.75" customHeight="1">
      <c r="A502" s="18"/>
      <c r="B502" s="18"/>
      <c r="C502" s="18"/>
      <c r="D502" s="18"/>
      <c r="E502" s="18"/>
      <c r="F502" s="18"/>
    </row>
    <row r="503" ht="15.75" customHeight="1">
      <c r="A503" s="18"/>
      <c r="B503" s="18"/>
      <c r="C503" s="18"/>
      <c r="D503" s="18"/>
      <c r="E503" s="18"/>
      <c r="F503" s="18"/>
    </row>
    <row r="504" ht="15.75" customHeight="1">
      <c r="A504" s="18"/>
      <c r="B504" s="18"/>
      <c r="C504" s="18"/>
      <c r="D504" s="18"/>
      <c r="E504" s="18"/>
      <c r="F504" s="18"/>
    </row>
    <row r="505" ht="15.75" customHeight="1">
      <c r="A505" s="18"/>
      <c r="B505" s="18"/>
      <c r="C505" s="18"/>
      <c r="D505" s="18"/>
      <c r="E505" s="18"/>
      <c r="F505" s="18"/>
    </row>
    <row r="506" ht="15.75" customHeight="1">
      <c r="A506" s="18"/>
      <c r="B506" s="18"/>
      <c r="C506" s="18"/>
      <c r="D506" s="18"/>
      <c r="E506" s="18"/>
      <c r="F506" s="18"/>
    </row>
    <row r="507" ht="15.75" customHeight="1">
      <c r="A507" s="18"/>
      <c r="B507" s="18"/>
      <c r="C507" s="18"/>
      <c r="D507" s="18"/>
      <c r="E507" s="18"/>
      <c r="F507" s="18"/>
    </row>
    <row r="508" ht="15.75" customHeight="1">
      <c r="A508" s="18"/>
      <c r="B508" s="18"/>
      <c r="C508" s="18"/>
      <c r="D508" s="18"/>
      <c r="E508" s="18"/>
      <c r="F508" s="18"/>
    </row>
    <row r="509" ht="15.75" customHeight="1">
      <c r="A509" s="18"/>
      <c r="B509" s="18"/>
      <c r="C509" s="18"/>
      <c r="D509" s="18"/>
      <c r="E509" s="18"/>
      <c r="F509" s="18"/>
    </row>
    <row r="510" ht="15.75" customHeight="1">
      <c r="A510" s="18"/>
      <c r="B510" s="18"/>
      <c r="C510" s="18"/>
      <c r="D510" s="18"/>
      <c r="E510" s="18"/>
      <c r="F510" s="18"/>
    </row>
    <row r="511" ht="15.75" customHeight="1">
      <c r="A511" s="18"/>
      <c r="B511" s="18"/>
      <c r="C511" s="18"/>
      <c r="D511" s="18"/>
      <c r="E511" s="18"/>
      <c r="F511" s="18"/>
    </row>
    <row r="512" ht="15.75" customHeight="1">
      <c r="A512" s="18"/>
      <c r="B512" s="18"/>
      <c r="C512" s="18"/>
      <c r="D512" s="18"/>
      <c r="E512" s="18"/>
      <c r="F512" s="18"/>
    </row>
    <row r="513" ht="15.75" customHeight="1">
      <c r="A513" s="18"/>
      <c r="B513" s="18"/>
      <c r="C513" s="18"/>
      <c r="D513" s="18"/>
      <c r="E513" s="18"/>
      <c r="F513" s="18"/>
    </row>
    <row r="514" ht="15.75" customHeight="1">
      <c r="A514" s="18"/>
      <c r="B514" s="18"/>
      <c r="C514" s="18"/>
      <c r="D514" s="18"/>
      <c r="E514" s="18"/>
      <c r="F514" s="18"/>
    </row>
    <row r="515" ht="15.75" customHeight="1">
      <c r="A515" s="18"/>
      <c r="B515" s="18"/>
      <c r="C515" s="18"/>
      <c r="D515" s="18"/>
      <c r="E515" s="18"/>
      <c r="F515" s="18"/>
    </row>
    <row r="516" ht="15.75" customHeight="1">
      <c r="A516" s="18"/>
      <c r="B516" s="18"/>
      <c r="C516" s="18"/>
      <c r="D516" s="18"/>
      <c r="E516" s="18"/>
      <c r="F516" s="18"/>
    </row>
    <row r="517" ht="15.75" customHeight="1">
      <c r="A517" s="18"/>
      <c r="B517" s="18"/>
      <c r="C517" s="18"/>
      <c r="D517" s="18"/>
      <c r="E517" s="18"/>
      <c r="F517" s="18"/>
    </row>
    <row r="518" ht="15.75" customHeight="1">
      <c r="A518" s="18"/>
      <c r="B518" s="18"/>
      <c r="C518" s="18"/>
      <c r="D518" s="18"/>
      <c r="E518" s="18"/>
      <c r="F518" s="18"/>
    </row>
    <row r="519" ht="15.75" customHeight="1">
      <c r="A519" s="18"/>
      <c r="B519" s="18"/>
      <c r="C519" s="18"/>
      <c r="D519" s="18"/>
      <c r="E519" s="18"/>
      <c r="F519" s="18"/>
    </row>
    <row r="520" ht="15.75" customHeight="1">
      <c r="A520" s="18"/>
      <c r="B520" s="18"/>
      <c r="C520" s="18"/>
      <c r="D520" s="18"/>
      <c r="E520" s="18"/>
      <c r="F520" s="18"/>
    </row>
    <row r="521" ht="15.75" customHeight="1">
      <c r="A521" s="18"/>
      <c r="B521" s="18"/>
      <c r="C521" s="18"/>
      <c r="D521" s="18"/>
      <c r="E521" s="18"/>
      <c r="F521" s="18"/>
    </row>
    <row r="522" ht="15.75" customHeight="1">
      <c r="A522" s="18"/>
      <c r="B522" s="18"/>
      <c r="C522" s="18"/>
      <c r="D522" s="18"/>
      <c r="E522" s="18"/>
      <c r="F522" s="18"/>
    </row>
    <row r="523" ht="15.75" customHeight="1">
      <c r="A523" s="18"/>
      <c r="B523" s="18"/>
      <c r="C523" s="18"/>
      <c r="D523" s="18"/>
      <c r="E523" s="18"/>
      <c r="F523" s="18"/>
    </row>
    <row r="524" ht="15.75" customHeight="1">
      <c r="A524" s="18"/>
      <c r="B524" s="18"/>
      <c r="C524" s="18"/>
      <c r="D524" s="18"/>
      <c r="E524" s="18"/>
      <c r="F524" s="18"/>
    </row>
    <row r="525" ht="15.75" customHeight="1">
      <c r="A525" s="18"/>
      <c r="B525" s="18"/>
      <c r="C525" s="18"/>
      <c r="D525" s="18"/>
      <c r="E525" s="18"/>
      <c r="F525" s="18"/>
    </row>
    <row r="526" ht="15.75" customHeight="1">
      <c r="A526" s="18"/>
      <c r="B526" s="18"/>
      <c r="C526" s="18"/>
      <c r="D526" s="18"/>
      <c r="E526" s="18"/>
      <c r="F526" s="18"/>
    </row>
    <row r="527" ht="15.75" customHeight="1">
      <c r="A527" s="18"/>
      <c r="B527" s="18"/>
      <c r="C527" s="18"/>
      <c r="D527" s="18"/>
      <c r="E527" s="18"/>
      <c r="F527" s="18"/>
    </row>
    <row r="528" ht="15.75" customHeight="1">
      <c r="A528" s="18"/>
      <c r="B528" s="18"/>
      <c r="C528" s="18"/>
      <c r="D528" s="18"/>
      <c r="E528" s="18"/>
      <c r="F528" s="18"/>
    </row>
    <row r="529" ht="15.75" customHeight="1">
      <c r="A529" s="18"/>
      <c r="B529" s="18"/>
      <c r="C529" s="18"/>
      <c r="D529" s="18"/>
      <c r="E529" s="18"/>
      <c r="F529" s="18"/>
    </row>
    <row r="530" ht="15.75" customHeight="1">
      <c r="A530" s="18"/>
      <c r="B530" s="18"/>
      <c r="C530" s="18"/>
      <c r="D530" s="18"/>
      <c r="E530" s="18"/>
      <c r="F530" s="18"/>
    </row>
    <row r="531" ht="15.75" customHeight="1">
      <c r="A531" s="18"/>
      <c r="B531" s="18"/>
      <c r="C531" s="18"/>
      <c r="D531" s="18"/>
      <c r="E531" s="18"/>
      <c r="F531" s="18"/>
    </row>
    <row r="532" ht="15.75" customHeight="1">
      <c r="A532" s="18"/>
      <c r="B532" s="18"/>
      <c r="C532" s="18"/>
      <c r="D532" s="18"/>
      <c r="E532" s="18"/>
      <c r="F532" s="18"/>
    </row>
    <row r="533" ht="15.75" customHeight="1">
      <c r="A533" s="18"/>
      <c r="B533" s="18"/>
      <c r="C533" s="18"/>
      <c r="D533" s="18"/>
      <c r="E533" s="18"/>
      <c r="F533" s="18"/>
    </row>
    <row r="534" ht="15.75" customHeight="1">
      <c r="A534" s="18"/>
      <c r="B534" s="18"/>
      <c r="C534" s="18"/>
      <c r="D534" s="18"/>
      <c r="E534" s="18"/>
      <c r="F534" s="18"/>
    </row>
    <row r="535" ht="15.75" customHeight="1">
      <c r="A535" s="18"/>
      <c r="B535" s="18"/>
      <c r="C535" s="18"/>
      <c r="D535" s="18"/>
      <c r="E535" s="18"/>
      <c r="F535" s="18"/>
    </row>
    <row r="536" ht="15.75" customHeight="1">
      <c r="A536" s="18"/>
      <c r="B536" s="18"/>
      <c r="C536" s="18"/>
      <c r="D536" s="18"/>
      <c r="E536" s="18"/>
      <c r="F536" s="18"/>
    </row>
    <row r="537" ht="15.75" customHeight="1">
      <c r="A537" s="18"/>
      <c r="B537" s="18"/>
      <c r="C537" s="18"/>
      <c r="D537" s="18"/>
      <c r="E537" s="18"/>
      <c r="F537" s="18"/>
    </row>
    <row r="538" ht="15.75" customHeight="1">
      <c r="A538" s="18"/>
      <c r="B538" s="18"/>
      <c r="C538" s="18"/>
      <c r="D538" s="18"/>
      <c r="E538" s="18"/>
      <c r="F538" s="18"/>
    </row>
    <row r="539" ht="15.75" customHeight="1">
      <c r="A539" s="18"/>
      <c r="B539" s="18"/>
      <c r="C539" s="18"/>
      <c r="D539" s="18"/>
      <c r="E539" s="18"/>
      <c r="F539" s="18"/>
    </row>
    <row r="540" ht="15.75" customHeight="1">
      <c r="A540" s="18"/>
      <c r="B540" s="18"/>
      <c r="C540" s="18"/>
      <c r="D540" s="18"/>
      <c r="E540" s="18"/>
      <c r="F540" s="18"/>
    </row>
    <row r="541" ht="15.75" customHeight="1">
      <c r="A541" s="18"/>
      <c r="B541" s="18"/>
      <c r="C541" s="18"/>
      <c r="D541" s="18"/>
      <c r="E541" s="18"/>
      <c r="F541" s="18"/>
    </row>
    <row r="542" ht="15.75" customHeight="1">
      <c r="A542" s="18"/>
      <c r="B542" s="18"/>
      <c r="C542" s="18"/>
      <c r="D542" s="18"/>
      <c r="E542" s="18"/>
      <c r="F542" s="18"/>
    </row>
    <row r="543" ht="15.75" customHeight="1">
      <c r="A543" s="18"/>
      <c r="B543" s="18"/>
      <c r="C543" s="18"/>
      <c r="D543" s="18"/>
      <c r="E543" s="18"/>
      <c r="F543" s="18"/>
    </row>
    <row r="544" ht="15.75" customHeight="1">
      <c r="A544" s="18"/>
      <c r="B544" s="18"/>
      <c r="C544" s="18"/>
      <c r="D544" s="18"/>
      <c r="E544" s="18"/>
      <c r="F544" s="18"/>
    </row>
    <row r="545" ht="15.75" customHeight="1">
      <c r="A545" s="18"/>
      <c r="B545" s="18"/>
      <c r="C545" s="18"/>
      <c r="D545" s="18"/>
      <c r="E545" s="18"/>
      <c r="F545" s="18"/>
    </row>
    <row r="546" ht="15.75" customHeight="1">
      <c r="A546" s="18"/>
      <c r="B546" s="18"/>
      <c r="C546" s="18"/>
      <c r="D546" s="18"/>
      <c r="E546" s="18"/>
      <c r="F546" s="18"/>
    </row>
    <row r="547" ht="15.75" customHeight="1">
      <c r="A547" s="18"/>
      <c r="B547" s="18"/>
      <c r="C547" s="18"/>
      <c r="D547" s="18"/>
      <c r="E547" s="18"/>
      <c r="F547" s="18"/>
    </row>
    <row r="548" ht="15.75" customHeight="1">
      <c r="A548" s="18"/>
      <c r="B548" s="18"/>
      <c r="C548" s="18"/>
      <c r="D548" s="18"/>
      <c r="E548" s="18"/>
      <c r="F548" s="18"/>
    </row>
    <row r="549" ht="15.75" customHeight="1">
      <c r="A549" s="18"/>
      <c r="B549" s="18"/>
      <c r="C549" s="18"/>
      <c r="D549" s="18"/>
      <c r="E549" s="18"/>
      <c r="F549" s="18"/>
    </row>
    <row r="550" ht="15.75" customHeight="1">
      <c r="A550" s="18"/>
      <c r="B550" s="18"/>
      <c r="C550" s="18"/>
      <c r="D550" s="18"/>
      <c r="E550" s="18"/>
      <c r="F550" s="18"/>
    </row>
    <row r="551" ht="15.75" customHeight="1">
      <c r="A551" s="18"/>
      <c r="B551" s="18"/>
      <c r="C551" s="18"/>
      <c r="D551" s="18"/>
      <c r="E551" s="18"/>
      <c r="F551" s="18"/>
    </row>
    <row r="552" ht="15.75" customHeight="1">
      <c r="A552" s="18"/>
      <c r="B552" s="18"/>
      <c r="C552" s="18"/>
      <c r="D552" s="18"/>
      <c r="E552" s="18"/>
      <c r="F552" s="18"/>
    </row>
    <row r="553" ht="15.75" customHeight="1">
      <c r="A553" s="18"/>
      <c r="B553" s="18"/>
      <c r="C553" s="18"/>
      <c r="D553" s="18"/>
      <c r="E553" s="18"/>
      <c r="F553" s="18"/>
    </row>
    <row r="554" ht="15.75" customHeight="1">
      <c r="A554" s="18"/>
      <c r="B554" s="18"/>
      <c r="C554" s="18"/>
      <c r="D554" s="18"/>
      <c r="E554" s="18"/>
      <c r="F554" s="18"/>
    </row>
    <row r="555" ht="15.75" customHeight="1">
      <c r="A555" s="18"/>
      <c r="B555" s="18"/>
      <c r="C555" s="18"/>
      <c r="D555" s="18"/>
      <c r="E555" s="18"/>
      <c r="F555" s="18"/>
    </row>
    <row r="556" ht="15.75" customHeight="1">
      <c r="A556" s="18"/>
      <c r="B556" s="18"/>
      <c r="C556" s="18"/>
      <c r="D556" s="18"/>
      <c r="E556" s="18"/>
      <c r="F556" s="18"/>
    </row>
    <row r="557" ht="15.75" customHeight="1">
      <c r="A557" s="18"/>
      <c r="B557" s="18"/>
      <c r="C557" s="18"/>
      <c r="D557" s="18"/>
      <c r="E557" s="18"/>
      <c r="F557" s="18"/>
    </row>
    <row r="558" ht="15.75" customHeight="1">
      <c r="A558" s="18"/>
      <c r="B558" s="18"/>
      <c r="C558" s="18"/>
      <c r="D558" s="18"/>
      <c r="E558" s="18"/>
      <c r="F558" s="18"/>
    </row>
    <row r="559" ht="15.75" customHeight="1">
      <c r="A559" s="18"/>
      <c r="B559" s="18"/>
      <c r="C559" s="18"/>
      <c r="D559" s="18"/>
      <c r="E559" s="18"/>
      <c r="F559" s="18"/>
    </row>
    <row r="560" ht="15.75" customHeight="1">
      <c r="A560" s="18"/>
      <c r="B560" s="18"/>
      <c r="C560" s="18"/>
      <c r="D560" s="18"/>
      <c r="E560" s="18"/>
      <c r="F560" s="18"/>
    </row>
    <row r="561" ht="15.75" customHeight="1">
      <c r="A561" s="18"/>
      <c r="B561" s="18"/>
      <c r="C561" s="18"/>
      <c r="D561" s="18"/>
      <c r="E561" s="18"/>
      <c r="F561" s="18"/>
    </row>
    <row r="562" ht="15.75" customHeight="1">
      <c r="A562" s="18"/>
      <c r="B562" s="18"/>
      <c r="C562" s="18"/>
      <c r="D562" s="18"/>
      <c r="E562" s="18"/>
      <c r="F562" s="18"/>
    </row>
    <row r="563" ht="15.75" customHeight="1">
      <c r="A563" s="18"/>
      <c r="B563" s="18"/>
      <c r="C563" s="18"/>
      <c r="D563" s="18"/>
      <c r="E563" s="18"/>
      <c r="F563" s="18"/>
    </row>
    <row r="564" ht="15.75" customHeight="1">
      <c r="A564" s="18"/>
      <c r="B564" s="18"/>
      <c r="C564" s="18"/>
      <c r="D564" s="18"/>
      <c r="E564" s="18"/>
      <c r="F564" s="18"/>
    </row>
    <row r="565" ht="15.75" customHeight="1">
      <c r="A565" s="18"/>
      <c r="B565" s="18"/>
      <c r="C565" s="18"/>
      <c r="D565" s="18"/>
      <c r="E565" s="18"/>
      <c r="F565" s="18"/>
    </row>
    <row r="566" ht="15.75" customHeight="1">
      <c r="A566" s="18"/>
      <c r="B566" s="18"/>
      <c r="C566" s="18"/>
      <c r="D566" s="18"/>
      <c r="E566" s="18"/>
      <c r="F566" s="18"/>
    </row>
    <row r="567" ht="15.75" customHeight="1">
      <c r="A567" s="18"/>
      <c r="B567" s="18"/>
      <c r="C567" s="18"/>
      <c r="D567" s="18"/>
      <c r="E567" s="18"/>
      <c r="F567" s="18"/>
    </row>
    <row r="568" ht="15.75" customHeight="1">
      <c r="A568" s="18"/>
      <c r="B568" s="18"/>
      <c r="C568" s="18"/>
      <c r="D568" s="18"/>
      <c r="E568" s="18"/>
      <c r="F568" s="18"/>
    </row>
    <row r="569" ht="15.75" customHeight="1">
      <c r="A569" s="18"/>
      <c r="B569" s="18"/>
      <c r="C569" s="18"/>
      <c r="D569" s="18"/>
      <c r="E569" s="18"/>
      <c r="F569" s="18"/>
    </row>
    <row r="570" ht="15.75" customHeight="1">
      <c r="A570" s="18"/>
      <c r="B570" s="18"/>
      <c r="C570" s="18"/>
      <c r="D570" s="18"/>
      <c r="E570" s="18"/>
      <c r="F570" s="18"/>
    </row>
    <row r="571" ht="15.75" customHeight="1">
      <c r="A571" s="18"/>
      <c r="B571" s="18"/>
      <c r="C571" s="18"/>
      <c r="D571" s="18"/>
      <c r="E571" s="18"/>
      <c r="F571" s="18"/>
    </row>
    <row r="572" ht="15.75" customHeight="1">
      <c r="A572" s="18"/>
      <c r="B572" s="18"/>
      <c r="C572" s="18"/>
      <c r="D572" s="18"/>
      <c r="E572" s="18"/>
      <c r="F572" s="18"/>
    </row>
    <row r="573" ht="15.75" customHeight="1">
      <c r="A573" s="18"/>
      <c r="B573" s="18"/>
      <c r="C573" s="18"/>
      <c r="D573" s="18"/>
      <c r="E573" s="18"/>
      <c r="F573" s="18"/>
    </row>
    <row r="574" ht="15.75" customHeight="1">
      <c r="A574" s="18"/>
      <c r="B574" s="18"/>
      <c r="C574" s="18"/>
      <c r="D574" s="18"/>
      <c r="E574" s="18"/>
      <c r="F574" s="18"/>
    </row>
    <row r="575" ht="15.75" customHeight="1">
      <c r="A575" s="18"/>
      <c r="B575" s="18"/>
      <c r="C575" s="18"/>
      <c r="D575" s="18"/>
      <c r="E575" s="18"/>
      <c r="F575" s="18"/>
    </row>
    <row r="576" ht="15.75" customHeight="1">
      <c r="A576" s="18"/>
      <c r="B576" s="18"/>
      <c r="C576" s="18"/>
      <c r="D576" s="18"/>
      <c r="E576" s="18"/>
      <c r="F576" s="18"/>
    </row>
    <row r="577" ht="15.75" customHeight="1">
      <c r="A577" s="18"/>
      <c r="B577" s="18"/>
      <c r="C577" s="18"/>
      <c r="D577" s="18"/>
      <c r="E577" s="18"/>
      <c r="F577" s="18"/>
    </row>
    <row r="578" ht="15.75" customHeight="1">
      <c r="A578" s="18"/>
      <c r="B578" s="18"/>
      <c r="C578" s="18"/>
      <c r="D578" s="18"/>
      <c r="E578" s="18"/>
      <c r="F578" s="18"/>
    </row>
    <row r="579" ht="15.75" customHeight="1">
      <c r="A579" s="18"/>
      <c r="B579" s="18"/>
      <c r="C579" s="18"/>
      <c r="D579" s="18"/>
      <c r="E579" s="18"/>
      <c r="F579" s="18"/>
    </row>
    <row r="580" ht="15.75" customHeight="1">
      <c r="A580" s="18"/>
      <c r="B580" s="18"/>
      <c r="C580" s="18"/>
      <c r="D580" s="18"/>
      <c r="E580" s="18"/>
      <c r="F580" s="18"/>
    </row>
    <row r="581" ht="15.75" customHeight="1">
      <c r="A581" s="18"/>
      <c r="B581" s="18"/>
      <c r="C581" s="18"/>
      <c r="D581" s="18"/>
      <c r="E581" s="18"/>
      <c r="F581" s="18"/>
    </row>
    <row r="582" ht="15.75" customHeight="1">
      <c r="A582" s="18"/>
      <c r="B582" s="18"/>
      <c r="C582" s="18"/>
      <c r="D582" s="18"/>
      <c r="E582" s="18"/>
      <c r="F582" s="18"/>
    </row>
    <row r="583" ht="15.75" customHeight="1">
      <c r="A583" s="18"/>
      <c r="B583" s="18"/>
      <c r="C583" s="18"/>
      <c r="D583" s="18"/>
      <c r="E583" s="18"/>
      <c r="F583" s="18"/>
    </row>
    <row r="584" ht="15.75" customHeight="1">
      <c r="A584" s="18"/>
      <c r="B584" s="18"/>
      <c r="C584" s="18"/>
      <c r="D584" s="18"/>
      <c r="E584" s="18"/>
      <c r="F584" s="18"/>
    </row>
    <row r="585" ht="15.75" customHeight="1">
      <c r="A585" s="18"/>
      <c r="B585" s="18"/>
      <c r="C585" s="18"/>
      <c r="D585" s="18"/>
      <c r="E585" s="18"/>
      <c r="F585" s="18"/>
    </row>
    <row r="586" ht="15.75" customHeight="1">
      <c r="A586" s="18"/>
      <c r="B586" s="18"/>
      <c r="C586" s="18"/>
      <c r="D586" s="18"/>
      <c r="E586" s="18"/>
      <c r="F586" s="18"/>
    </row>
    <row r="587" ht="15.75" customHeight="1">
      <c r="A587" s="18"/>
      <c r="B587" s="18"/>
      <c r="C587" s="18"/>
      <c r="D587" s="18"/>
      <c r="E587" s="18"/>
      <c r="F587" s="18"/>
    </row>
    <row r="588" ht="15.75" customHeight="1">
      <c r="A588" s="18"/>
      <c r="B588" s="18"/>
      <c r="C588" s="18"/>
      <c r="D588" s="18"/>
      <c r="E588" s="18"/>
      <c r="F588" s="18"/>
    </row>
    <row r="589" ht="15.75" customHeight="1">
      <c r="A589" s="18"/>
      <c r="B589" s="18"/>
      <c r="C589" s="18"/>
      <c r="D589" s="18"/>
      <c r="E589" s="18"/>
      <c r="F589" s="18"/>
    </row>
    <row r="590" ht="15.75" customHeight="1">
      <c r="A590" s="18"/>
      <c r="B590" s="18"/>
      <c r="C590" s="18"/>
      <c r="D590" s="18"/>
      <c r="E590" s="18"/>
      <c r="F590" s="18"/>
    </row>
    <row r="591" ht="15.75" customHeight="1">
      <c r="A591" s="18"/>
      <c r="B591" s="18"/>
      <c r="C591" s="18"/>
      <c r="D591" s="18"/>
      <c r="E591" s="18"/>
      <c r="F591" s="18"/>
    </row>
    <row r="592" ht="15.75" customHeight="1">
      <c r="A592" s="18"/>
      <c r="B592" s="18"/>
      <c r="C592" s="18"/>
      <c r="D592" s="18"/>
      <c r="E592" s="18"/>
      <c r="F592" s="18"/>
    </row>
    <row r="593" ht="15.75" customHeight="1">
      <c r="A593" s="18"/>
      <c r="B593" s="18"/>
      <c r="C593" s="18"/>
      <c r="D593" s="18"/>
      <c r="E593" s="18"/>
      <c r="F593" s="18"/>
    </row>
    <row r="594" ht="15.75" customHeight="1">
      <c r="A594" s="18"/>
      <c r="B594" s="18"/>
      <c r="C594" s="18"/>
      <c r="D594" s="18"/>
      <c r="E594" s="18"/>
      <c r="F594" s="18"/>
    </row>
    <row r="595" ht="15.75" customHeight="1">
      <c r="A595" s="18"/>
      <c r="B595" s="18"/>
      <c r="C595" s="18"/>
      <c r="D595" s="18"/>
      <c r="E595" s="18"/>
      <c r="F595" s="18"/>
    </row>
    <row r="596" ht="15.75" customHeight="1">
      <c r="A596" s="18"/>
      <c r="B596" s="18"/>
      <c r="C596" s="18"/>
      <c r="D596" s="18"/>
      <c r="E596" s="18"/>
      <c r="F596" s="18"/>
    </row>
    <row r="597" ht="15.75" customHeight="1">
      <c r="A597" s="18"/>
      <c r="B597" s="18"/>
      <c r="C597" s="18"/>
      <c r="D597" s="18"/>
      <c r="E597" s="18"/>
      <c r="F597" s="18"/>
    </row>
    <row r="598" ht="15.75" customHeight="1">
      <c r="A598" s="18"/>
      <c r="B598" s="18"/>
      <c r="C598" s="18"/>
      <c r="D598" s="18"/>
      <c r="E598" s="18"/>
      <c r="F598" s="18"/>
    </row>
    <row r="599" ht="15.75" customHeight="1">
      <c r="A599" s="18"/>
      <c r="B599" s="18"/>
      <c r="C599" s="18"/>
      <c r="D599" s="18"/>
      <c r="E599" s="18"/>
      <c r="F599" s="18"/>
    </row>
    <row r="600" ht="15.75" customHeight="1">
      <c r="A600" s="18"/>
      <c r="B600" s="18"/>
      <c r="C600" s="18"/>
      <c r="D600" s="18"/>
      <c r="E600" s="18"/>
      <c r="F600" s="18"/>
    </row>
    <row r="601" ht="15.75" customHeight="1">
      <c r="A601" s="18"/>
      <c r="B601" s="18"/>
      <c r="C601" s="18"/>
      <c r="D601" s="18"/>
      <c r="E601" s="18"/>
      <c r="F601" s="18"/>
    </row>
    <row r="602" ht="15.75" customHeight="1">
      <c r="A602" s="18"/>
      <c r="B602" s="18"/>
      <c r="C602" s="18"/>
      <c r="D602" s="18"/>
      <c r="E602" s="18"/>
      <c r="F602" s="18"/>
    </row>
    <row r="603" ht="15.75" customHeight="1">
      <c r="A603" s="18"/>
      <c r="B603" s="18"/>
      <c r="C603" s="18"/>
      <c r="D603" s="18"/>
      <c r="E603" s="18"/>
      <c r="F603" s="18"/>
    </row>
    <row r="604" ht="15.75" customHeight="1">
      <c r="A604" s="18"/>
      <c r="B604" s="18"/>
      <c r="C604" s="18"/>
      <c r="D604" s="18"/>
      <c r="E604" s="18"/>
      <c r="F604" s="18"/>
    </row>
    <row r="605" ht="15.75" customHeight="1">
      <c r="A605" s="18"/>
      <c r="B605" s="18"/>
      <c r="C605" s="18"/>
      <c r="D605" s="18"/>
      <c r="E605" s="18"/>
      <c r="F605" s="18"/>
    </row>
    <row r="606" ht="15.75" customHeight="1">
      <c r="A606" s="18"/>
      <c r="B606" s="18"/>
      <c r="C606" s="18"/>
      <c r="D606" s="18"/>
      <c r="E606" s="18"/>
      <c r="F606" s="18"/>
    </row>
    <row r="607" ht="15.75" customHeight="1">
      <c r="A607" s="18"/>
      <c r="B607" s="18"/>
      <c r="C607" s="18"/>
      <c r="D607" s="18"/>
      <c r="E607" s="18"/>
      <c r="F607" s="18"/>
    </row>
    <row r="608" ht="15.75" customHeight="1">
      <c r="A608" s="18"/>
      <c r="B608" s="18"/>
      <c r="C608" s="18"/>
      <c r="D608" s="18"/>
      <c r="E608" s="18"/>
      <c r="F608" s="18"/>
    </row>
    <row r="609" ht="15.75" customHeight="1">
      <c r="A609" s="18"/>
      <c r="B609" s="18"/>
      <c r="C609" s="18"/>
      <c r="D609" s="18"/>
      <c r="E609" s="18"/>
      <c r="F609" s="18"/>
    </row>
    <row r="610" ht="15.75" customHeight="1">
      <c r="A610" s="18"/>
      <c r="B610" s="18"/>
      <c r="C610" s="18"/>
      <c r="D610" s="18"/>
      <c r="E610" s="18"/>
      <c r="F610" s="18"/>
    </row>
    <row r="611" ht="15.75" customHeight="1">
      <c r="A611" s="18"/>
      <c r="B611" s="18"/>
      <c r="C611" s="18"/>
      <c r="D611" s="18"/>
      <c r="E611" s="18"/>
      <c r="F611" s="18"/>
    </row>
    <row r="612" ht="15.75" customHeight="1">
      <c r="A612" s="18"/>
      <c r="B612" s="18"/>
      <c r="C612" s="18"/>
      <c r="D612" s="18"/>
      <c r="E612" s="18"/>
      <c r="F612" s="18"/>
    </row>
    <row r="613" ht="15.75" customHeight="1">
      <c r="A613" s="18"/>
      <c r="B613" s="18"/>
      <c r="C613" s="18"/>
      <c r="D613" s="18"/>
      <c r="E613" s="18"/>
      <c r="F613" s="18"/>
    </row>
    <row r="614" ht="15.75" customHeight="1">
      <c r="A614" s="18"/>
      <c r="B614" s="18"/>
      <c r="C614" s="18"/>
      <c r="D614" s="18"/>
      <c r="E614" s="18"/>
      <c r="F614" s="18"/>
    </row>
    <row r="615" ht="15.75" customHeight="1">
      <c r="A615" s="18"/>
      <c r="B615" s="18"/>
      <c r="C615" s="18"/>
      <c r="D615" s="18"/>
      <c r="E615" s="18"/>
      <c r="F615" s="18"/>
    </row>
    <row r="616" ht="15.75" customHeight="1">
      <c r="A616" s="18"/>
      <c r="B616" s="18"/>
      <c r="C616" s="18"/>
      <c r="D616" s="18"/>
      <c r="E616" s="18"/>
      <c r="F616" s="18"/>
    </row>
    <row r="617" ht="15.75" customHeight="1">
      <c r="A617" s="18"/>
      <c r="B617" s="18"/>
      <c r="C617" s="18"/>
      <c r="D617" s="18"/>
      <c r="E617" s="18"/>
      <c r="F617" s="18"/>
    </row>
    <row r="618" ht="15.75" customHeight="1">
      <c r="A618" s="18"/>
      <c r="B618" s="18"/>
      <c r="C618" s="18"/>
      <c r="D618" s="18"/>
      <c r="E618" s="18"/>
      <c r="F618" s="18"/>
    </row>
    <row r="619" ht="15.75" customHeight="1">
      <c r="A619" s="18"/>
      <c r="B619" s="18"/>
      <c r="C619" s="18"/>
      <c r="D619" s="18"/>
      <c r="E619" s="18"/>
      <c r="F619" s="18"/>
    </row>
    <row r="620" ht="15.75" customHeight="1">
      <c r="A620" s="18"/>
      <c r="B620" s="18"/>
      <c r="C620" s="18"/>
      <c r="D620" s="18"/>
      <c r="E620" s="18"/>
      <c r="F620" s="18"/>
    </row>
    <row r="621" ht="15.75" customHeight="1">
      <c r="A621" s="18"/>
      <c r="B621" s="18"/>
      <c r="C621" s="18"/>
      <c r="D621" s="18"/>
      <c r="E621" s="18"/>
      <c r="F621" s="18"/>
    </row>
    <row r="622" ht="15.75" customHeight="1">
      <c r="A622" s="18"/>
      <c r="B622" s="18"/>
      <c r="C622" s="18"/>
      <c r="D622" s="18"/>
      <c r="E622" s="18"/>
      <c r="F622" s="18"/>
    </row>
    <row r="623" ht="15.75" customHeight="1">
      <c r="A623" s="18"/>
      <c r="B623" s="18"/>
      <c r="C623" s="18"/>
      <c r="D623" s="18"/>
      <c r="E623" s="18"/>
      <c r="F623" s="18"/>
    </row>
    <row r="624" ht="15.75" customHeight="1">
      <c r="A624" s="18"/>
      <c r="B624" s="18"/>
      <c r="C624" s="18"/>
      <c r="D624" s="18"/>
      <c r="E624" s="18"/>
      <c r="F624" s="18"/>
    </row>
    <row r="625" ht="15.75" customHeight="1">
      <c r="A625" s="18"/>
      <c r="B625" s="18"/>
      <c r="C625" s="18"/>
      <c r="D625" s="18"/>
      <c r="E625" s="18"/>
      <c r="F625" s="18"/>
    </row>
    <row r="626" ht="15.75" customHeight="1">
      <c r="A626" s="18"/>
      <c r="B626" s="18"/>
      <c r="C626" s="18"/>
      <c r="D626" s="18"/>
      <c r="E626" s="18"/>
      <c r="F626" s="18"/>
    </row>
    <row r="627" ht="15.75" customHeight="1">
      <c r="A627" s="18"/>
      <c r="B627" s="18"/>
      <c r="C627" s="18"/>
      <c r="D627" s="18"/>
      <c r="E627" s="18"/>
      <c r="F627" s="18"/>
    </row>
    <row r="628" ht="15.75" customHeight="1">
      <c r="A628" s="18"/>
      <c r="B628" s="18"/>
      <c r="C628" s="18"/>
      <c r="D628" s="18"/>
      <c r="E628" s="18"/>
      <c r="F628" s="18"/>
    </row>
    <row r="629" ht="15.75" customHeight="1">
      <c r="A629" s="18"/>
      <c r="B629" s="18"/>
      <c r="C629" s="18"/>
      <c r="D629" s="18"/>
      <c r="E629" s="18"/>
      <c r="F629" s="18"/>
    </row>
    <row r="630" ht="15.75" customHeight="1">
      <c r="A630" s="18"/>
      <c r="B630" s="18"/>
      <c r="C630" s="18"/>
      <c r="D630" s="18"/>
      <c r="E630" s="18"/>
      <c r="F630" s="18"/>
    </row>
    <row r="631" ht="15.75" customHeight="1">
      <c r="A631" s="18"/>
      <c r="B631" s="18"/>
      <c r="C631" s="18"/>
      <c r="D631" s="18"/>
      <c r="E631" s="18"/>
      <c r="F631" s="18"/>
    </row>
    <row r="632" ht="15.75" customHeight="1">
      <c r="A632" s="18"/>
      <c r="B632" s="18"/>
      <c r="C632" s="18"/>
      <c r="D632" s="18"/>
      <c r="E632" s="18"/>
      <c r="F632" s="18"/>
    </row>
    <row r="633" ht="15.75" customHeight="1">
      <c r="A633" s="18"/>
      <c r="B633" s="18"/>
      <c r="C633" s="18"/>
      <c r="D633" s="18"/>
      <c r="E633" s="18"/>
      <c r="F633" s="18"/>
    </row>
    <row r="634" ht="15.75" customHeight="1">
      <c r="A634" s="18"/>
      <c r="B634" s="18"/>
      <c r="C634" s="18"/>
      <c r="D634" s="18"/>
      <c r="E634" s="18"/>
      <c r="F634" s="18"/>
    </row>
    <row r="635" ht="15.75" customHeight="1">
      <c r="A635" s="18"/>
      <c r="B635" s="18"/>
      <c r="C635" s="18"/>
      <c r="D635" s="18"/>
      <c r="E635" s="18"/>
      <c r="F635" s="18"/>
    </row>
    <row r="636" ht="15.75" customHeight="1">
      <c r="A636" s="18"/>
      <c r="B636" s="18"/>
      <c r="C636" s="18"/>
      <c r="D636" s="18"/>
      <c r="E636" s="18"/>
      <c r="F636" s="18"/>
    </row>
    <row r="637" ht="15.75" customHeight="1">
      <c r="A637" s="18"/>
      <c r="B637" s="18"/>
      <c r="C637" s="18"/>
      <c r="D637" s="18"/>
      <c r="E637" s="18"/>
      <c r="F637" s="18"/>
    </row>
    <row r="638" ht="15.75" customHeight="1">
      <c r="A638" s="18"/>
      <c r="B638" s="18"/>
      <c r="C638" s="18"/>
      <c r="D638" s="18"/>
      <c r="E638" s="18"/>
      <c r="F638" s="18"/>
    </row>
    <row r="639" ht="15.75" customHeight="1">
      <c r="A639" s="18"/>
      <c r="B639" s="18"/>
      <c r="C639" s="18"/>
      <c r="D639" s="18"/>
      <c r="E639" s="18"/>
      <c r="F639" s="18"/>
    </row>
    <row r="640" ht="15.75" customHeight="1">
      <c r="A640" s="18"/>
      <c r="B640" s="18"/>
      <c r="C640" s="18"/>
      <c r="D640" s="18"/>
      <c r="E640" s="18"/>
      <c r="F640" s="18"/>
    </row>
    <row r="641" ht="15.75" customHeight="1">
      <c r="A641" s="18"/>
      <c r="B641" s="18"/>
      <c r="C641" s="18"/>
      <c r="D641" s="18"/>
      <c r="E641" s="18"/>
      <c r="F641" s="18"/>
    </row>
    <row r="642" ht="15.75" customHeight="1">
      <c r="A642" s="18"/>
      <c r="B642" s="18"/>
      <c r="C642" s="18"/>
      <c r="D642" s="18"/>
      <c r="E642" s="18"/>
      <c r="F642" s="18"/>
    </row>
    <row r="643" ht="15.75" customHeight="1">
      <c r="A643" s="18"/>
      <c r="B643" s="18"/>
      <c r="C643" s="18"/>
      <c r="D643" s="18"/>
      <c r="E643" s="18"/>
      <c r="F643" s="18"/>
    </row>
    <row r="644" ht="15.75" customHeight="1">
      <c r="A644" s="18"/>
      <c r="B644" s="18"/>
      <c r="C644" s="18"/>
      <c r="D644" s="18"/>
      <c r="E644" s="18"/>
      <c r="F644" s="18"/>
    </row>
    <row r="645" ht="15.75" customHeight="1">
      <c r="A645" s="18"/>
      <c r="B645" s="18"/>
      <c r="C645" s="18"/>
      <c r="D645" s="18"/>
      <c r="E645" s="18"/>
      <c r="F645" s="18"/>
    </row>
    <row r="646" ht="15.75" customHeight="1">
      <c r="A646" s="18"/>
      <c r="B646" s="18"/>
      <c r="C646" s="18"/>
      <c r="D646" s="18"/>
      <c r="E646" s="18"/>
      <c r="F646" s="18"/>
    </row>
    <row r="647" ht="15.75" customHeight="1">
      <c r="A647" s="18"/>
      <c r="B647" s="18"/>
      <c r="C647" s="18"/>
      <c r="D647" s="18"/>
      <c r="E647" s="18"/>
      <c r="F647" s="18"/>
    </row>
    <row r="648" ht="15.75" customHeight="1">
      <c r="A648" s="18"/>
      <c r="B648" s="18"/>
      <c r="C648" s="18"/>
      <c r="D648" s="18"/>
      <c r="E648" s="18"/>
      <c r="F648" s="18"/>
    </row>
    <row r="649" ht="15.75" customHeight="1">
      <c r="A649" s="18"/>
      <c r="B649" s="18"/>
      <c r="C649" s="18"/>
      <c r="D649" s="18"/>
      <c r="E649" s="18"/>
      <c r="F649" s="18"/>
    </row>
    <row r="650" ht="15.75" customHeight="1">
      <c r="A650" s="18"/>
      <c r="B650" s="18"/>
      <c r="C650" s="18"/>
      <c r="D650" s="18"/>
      <c r="E650" s="18"/>
      <c r="F650" s="18"/>
    </row>
    <row r="651" ht="15.75" customHeight="1">
      <c r="A651" s="18"/>
      <c r="B651" s="18"/>
      <c r="C651" s="18"/>
      <c r="D651" s="18"/>
      <c r="E651" s="18"/>
      <c r="F651" s="18"/>
    </row>
    <row r="652" ht="15.75" customHeight="1">
      <c r="A652" s="18"/>
      <c r="B652" s="18"/>
      <c r="C652" s="18"/>
      <c r="D652" s="18"/>
      <c r="E652" s="18"/>
      <c r="F652" s="18"/>
    </row>
    <row r="653" ht="15.75" customHeight="1">
      <c r="A653" s="18"/>
      <c r="B653" s="18"/>
      <c r="C653" s="18"/>
      <c r="D653" s="18"/>
      <c r="E653" s="18"/>
      <c r="F653" s="18"/>
    </row>
    <row r="654" ht="15.75" customHeight="1">
      <c r="A654" s="18"/>
      <c r="B654" s="18"/>
      <c r="C654" s="18"/>
      <c r="D654" s="18"/>
      <c r="E654" s="18"/>
      <c r="F654" s="18"/>
    </row>
    <row r="655" ht="15.75" customHeight="1">
      <c r="A655" s="18"/>
      <c r="B655" s="18"/>
      <c r="C655" s="18"/>
      <c r="D655" s="18"/>
      <c r="E655" s="18"/>
      <c r="F655" s="18"/>
    </row>
    <row r="656" ht="15.75" customHeight="1">
      <c r="A656" s="18"/>
      <c r="B656" s="18"/>
      <c r="C656" s="18"/>
      <c r="D656" s="18"/>
      <c r="E656" s="18"/>
      <c r="F656" s="18"/>
    </row>
    <row r="657" ht="15.75" customHeight="1">
      <c r="A657" s="18"/>
      <c r="B657" s="18"/>
      <c r="C657" s="18"/>
      <c r="D657" s="18"/>
      <c r="E657" s="18"/>
      <c r="F657" s="18"/>
    </row>
    <row r="658" ht="15.75" customHeight="1">
      <c r="A658" s="18"/>
      <c r="B658" s="18"/>
      <c r="C658" s="18"/>
      <c r="D658" s="18"/>
      <c r="E658" s="18"/>
      <c r="F658" s="18"/>
    </row>
    <row r="659" ht="15.75" customHeight="1">
      <c r="A659" s="18"/>
      <c r="B659" s="18"/>
      <c r="C659" s="18"/>
      <c r="D659" s="18"/>
      <c r="E659" s="18"/>
      <c r="F659" s="18"/>
    </row>
    <row r="660" ht="15.75" customHeight="1">
      <c r="A660" s="18"/>
      <c r="B660" s="18"/>
      <c r="C660" s="18"/>
      <c r="D660" s="18"/>
      <c r="E660" s="18"/>
      <c r="F660" s="18"/>
    </row>
    <row r="661" ht="15.75" customHeight="1">
      <c r="A661" s="18"/>
      <c r="B661" s="18"/>
      <c r="C661" s="18"/>
      <c r="D661" s="18"/>
      <c r="E661" s="18"/>
      <c r="F661" s="18"/>
    </row>
    <row r="662" ht="15.75" customHeight="1">
      <c r="A662" s="18"/>
      <c r="B662" s="18"/>
      <c r="C662" s="18"/>
      <c r="D662" s="18"/>
      <c r="E662" s="18"/>
      <c r="F662" s="18"/>
    </row>
    <row r="663" ht="15.75" customHeight="1">
      <c r="A663" s="18"/>
      <c r="B663" s="18"/>
      <c r="C663" s="18"/>
      <c r="D663" s="18"/>
      <c r="E663" s="18"/>
      <c r="F663" s="18"/>
    </row>
    <row r="664" ht="15.75" customHeight="1">
      <c r="A664" s="18"/>
      <c r="B664" s="18"/>
      <c r="C664" s="18"/>
      <c r="D664" s="18"/>
      <c r="E664" s="18"/>
      <c r="F664" s="18"/>
    </row>
    <row r="665" ht="15.75" customHeight="1">
      <c r="A665" s="18"/>
      <c r="B665" s="18"/>
      <c r="C665" s="18"/>
      <c r="D665" s="18"/>
      <c r="E665" s="18"/>
      <c r="F665" s="18"/>
    </row>
    <row r="666" ht="15.75" customHeight="1">
      <c r="A666" s="18"/>
      <c r="B666" s="18"/>
      <c r="C666" s="18"/>
      <c r="D666" s="18"/>
      <c r="E666" s="18"/>
      <c r="F666" s="18"/>
    </row>
    <row r="667" ht="15.75" customHeight="1">
      <c r="A667" s="18"/>
      <c r="B667" s="18"/>
      <c r="C667" s="18"/>
      <c r="D667" s="18"/>
      <c r="E667" s="18"/>
      <c r="F667" s="18"/>
    </row>
    <row r="668" ht="15.75" customHeight="1">
      <c r="A668" s="18"/>
      <c r="B668" s="18"/>
      <c r="C668" s="18"/>
      <c r="D668" s="18"/>
      <c r="E668" s="18"/>
      <c r="F668" s="18"/>
    </row>
    <row r="669" ht="15.75" customHeight="1">
      <c r="A669" s="18"/>
      <c r="B669" s="18"/>
      <c r="C669" s="18"/>
      <c r="D669" s="18"/>
      <c r="E669" s="18"/>
      <c r="F669" s="18"/>
    </row>
    <row r="670" ht="15.75" customHeight="1">
      <c r="A670" s="18"/>
      <c r="B670" s="18"/>
      <c r="C670" s="18"/>
      <c r="D670" s="18"/>
      <c r="E670" s="18"/>
      <c r="F670" s="18"/>
    </row>
    <row r="671" ht="15.75" customHeight="1">
      <c r="A671" s="18"/>
      <c r="B671" s="18"/>
      <c r="C671" s="18"/>
      <c r="D671" s="18"/>
      <c r="E671" s="18"/>
      <c r="F671" s="18"/>
    </row>
    <row r="672" ht="15.75" customHeight="1">
      <c r="A672" s="18"/>
      <c r="B672" s="18"/>
      <c r="C672" s="18"/>
      <c r="D672" s="18"/>
      <c r="E672" s="18"/>
      <c r="F672" s="18"/>
    </row>
    <row r="673" ht="15.75" customHeight="1">
      <c r="A673" s="18"/>
      <c r="B673" s="18"/>
      <c r="C673" s="18"/>
      <c r="D673" s="18"/>
      <c r="E673" s="18"/>
      <c r="F673" s="18"/>
    </row>
    <row r="674" ht="15.75" customHeight="1">
      <c r="A674" s="18"/>
      <c r="B674" s="18"/>
      <c r="C674" s="18"/>
      <c r="D674" s="18"/>
      <c r="E674" s="18"/>
      <c r="F674" s="18"/>
    </row>
    <row r="675" ht="15.75" customHeight="1">
      <c r="A675" s="18"/>
      <c r="B675" s="18"/>
      <c r="C675" s="18"/>
      <c r="D675" s="18"/>
      <c r="E675" s="18"/>
      <c r="F675" s="18"/>
    </row>
    <row r="676" ht="15.75" customHeight="1">
      <c r="A676" s="18"/>
      <c r="B676" s="18"/>
      <c r="C676" s="18"/>
      <c r="D676" s="18"/>
      <c r="E676" s="18"/>
      <c r="F676" s="18"/>
    </row>
    <row r="677" ht="15.75" customHeight="1">
      <c r="A677" s="18"/>
      <c r="B677" s="18"/>
      <c r="C677" s="18"/>
      <c r="D677" s="18"/>
      <c r="E677" s="18"/>
      <c r="F677" s="18"/>
    </row>
    <row r="678" ht="15.75" customHeight="1">
      <c r="A678" s="18"/>
      <c r="B678" s="18"/>
      <c r="C678" s="18"/>
      <c r="D678" s="18"/>
      <c r="E678" s="18"/>
      <c r="F678" s="18"/>
    </row>
    <row r="679" ht="15.75" customHeight="1">
      <c r="A679" s="18"/>
      <c r="B679" s="18"/>
      <c r="C679" s="18"/>
      <c r="D679" s="18"/>
      <c r="E679" s="18"/>
      <c r="F679" s="18"/>
    </row>
    <row r="680" ht="15.75" customHeight="1">
      <c r="A680" s="18"/>
      <c r="B680" s="18"/>
      <c r="C680" s="18"/>
      <c r="D680" s="18"/>
      <c r="E680" s="18"/>
      <c r="F680" s="18"/>
    </row>
    <row r="681" ht="15.75" customHeight="1">
      <c r="A681" s="18"/>
      <c r="B681" s="18"/>
      <c r="C681" s="18"/>
      <c r="D681" s="18"/>
      <c r="E681" s="18"/>
      <c r="F681" s="18"/>
    </row>
    <row r="682" ht="15.75" customHeight="1">
      <c r="A682" s="18"/>
      <c r="B682" s="18"/>
      <c r="C682" s="18"/>
      <c r="D682" s="18"/>
      <c r="E682" s="18"/>
      <c r="F682" s="18"/>
    </row>
    <row r="683" ht="15.75" customHeight="1">
      <c r="A683" s="18"/>
      <c r="B683" s="18"/>
      <c r="C683" s="18"/>
      <c r="D683" s="18"/>
      <c r="E683" s="18"/>
      <c r="F683" s="18"/>
    </row>
    <row r="684" ht="15.75" customHeight="1">
      <c r="A684" s="18"/>
      <c r="B684" s="18"/>
      <c r="C684" s="18"/>
      <c r="D684" s="18"/>
      <c r="E684" s="18"/>
      <c r="F684" s="18"/>
    </row>
    <row r="685" ht="15.75" customHeight="1">
      <c r="A685" s="18"/>
      <c r="B685" s="18"/>
      <c r="C685" s="18"/>
      <c r="D685" s="18"/>
      <c r="E685" s="18"/>
      <c r="F685" s="18"/>
    </row>
    <row r="686" ht="15.75" customHeight="1">
      <c r="A686" s="18"/>
      <c r="B686" s="18"/>
      <c r="C686" s="18"/>
      <c r="D686" s="18"/>
      <c r="E686" s="18"/>
      <c r="F686" s="18"/>
    </row>
    <row r="687" ht="15.75" customHeight="1">
      <c r="A687" s="18"/>
      <c r="B687" s="18"/>
      <c r="C687" s="18"/>
      <c r="D687" s="18"/>
      <c r="E687" s="18"/>
      <c r="F687" s="18"/>
    </row>
    <row r="688" ht="15.75" customHeight="1">
      <c r="A688" s="18"/>
      <c r="B688" s="18"/>
      <c r="C688" s="18"/>
      <c r="D688" s="18"/>
      <c r="E688" s="18"/>
      <c r="F688" s="18"/>
    </row>
    <row r="689" ht="15.75" customHeight="1">
      <c r="A689" s="18"/>
      <c r="B689" s="18"/>
      <c r="C689" s="18"/>
      <c r="D689" s="18"/>
      <c r="E689" s="18"/>
      <c r="F689" s="18"/>
    </row>
    <row r="690" ht="15.75" customHeight="1">
      <c r="A690" s="18"/>
      <c r="B690" s="18"/>
      <c r="C690" s="18"/>
      <c r="D690" s="18"/>
      <c r="E690" s="18"/>
      <c r="F690" s="18"/>
    </row>
    <row r="691" ht="15.75" customHeight="1">
      <c r="A691" s="18"/>
      <c r="B691" s="18"/>
      <c r="C691" s="18"/>
      <c r="D691" s="18"/>
      <c r="E691" s="18"/>
      <c r="F691" s="18"/>
    </row>
    <row r="692" ht="15.75" customHeight="1">
      <c r="A692" s="18"/>
      <c r="B692" s="18"/>
      <c r="C692" s="18"/>
      <c r="D692" s="18"/>
      <c r="E692" s="18"/>
      <c r="F692" s="18"/>
    </row>
    <row r="693" ht="15.75" customHeight="1">
      <c r="A693" s="18"/>
      <c r="B693" s="18"/>
      <c r="C693" s="18"/>
      <c r="D693" s="18"/>
      <c r="E693" s="18"/>
      <c r="F693" s="18"/>
    </row>
    <row r="694" ht="15.75" customHeight="1">
      <c r="A694" s="18"/>
      <c r="B694" s="18"/>
      <c r="C694" s="18"/>
      <c r="D694" s="18"/>
      <c r="E694" s="18"/>
      <c r="F694" s="18"/>
    </row>
    <row r="695" ht="15.75" customHeight="1">
      <c r="A695" s="18"/>
      <c r="B695" s="18"/>
      <c r="C695" s="18"/>
      <c r="D695" s="18"/>
      <c r="E695" s="18"/>
      <c r="F695" s="18"/>
    </row>
    <row r="696" ht="15.75" customHeight="1">
      <c r="A696" s="18"/>
      <c r="B696" s="18"/>
      <c r="C696" s="18"/>
      <c r="D696" s="18"/>
      <c r="E696" s="18"/>
      <c r="F696" s="18"/>
    </row>
    <row r="697" ht="15.75" customHeight="1">
      <c r="A697" s="18"/>
      <c r="B697" s="18"/>
      <c r="C697" s="18"/>
      <c r="D697" s="18"/>
      <c r="E697" s="18"/>
      <c r="F697" s="18"/>
    </row>
    <row r="698" ht="15.75" customHeight="1">
      <c r="A698" s="18"/>
      <c r="B698" s="18"/>
      <c r="C698" s="18"/>
      <c r="D698" s="18"/>
      <c r="E698" s="18"/>
      <c r="F698" s="18"/>
    </row>
    <row r="699" ht="15.75" customHeight="1">
      <c r="A699" s="18"/>
      <c r="B699" s="18"/>
      <c r="C699" s="18"/>
      <c r="D699" s="18"/>
      <c r="E699" s="18"/>
      <c r="F699" s="18"/>
    </row>
    <row r="700" ht="15.75" customHeight="1">
      <c r="A700" s="18"/>
      <c r="B700" s="18"/>
      <c r="C700" s="18"/>
      <c r="D700" s="18"/>
      <c r="E700" s="18"/>
      <c r="F700" s="18"/>
    </row>
    <row r="701" ht="15.75" customHeight="1">
      <c r="A701" s="18"/>
      <c r="B701" s="18"/>
      <c r="C701" s="18"/>
      <c r="D701" s="18"/>
      <c r="E701" s="18"/>
      <c r="F701" s="18"/>
    </row>
    <row r="702" ht="15.75" customHeight="1">
      <c r="A702" s="18"/>
      <c r="B702" s="18"/>
      <c r="C702" s="18"/>
      <c r="D702" s="18"/>
      <c r="E702" s="18"/>
      <c r="F702" s="18"/>
    </row>
    <row r="703" ht="15.75" customHeight="1">
      <c r="A703" s="18"/>
      <c r="B703" s="18"/>
      <c r="C703" s="18"/>
      <c r="D703" s="18"/>
      <c r="E703" s="18"/>
      <c r="F703" s="18"/>
    </row>
    <row r="704" ht="15.75" customHeight="1">
      <c r="A704" s="18"/>
      <c r="B704" s="18"/>
      <c r="C704" s="18"/>
      <c r="D704" s="18"/>
      <c r="E704" s="18"/>
      <c r="F704" s="18"/>
    </row>
    <row r="705" ht="15.75" customHeight="1">
      <c r="A705" s="18"/>
      <c r="B705" s="18"/>
      <c r="C705" s="18"/>
      <c r="D705" s="18"/>
      <c r="E705" s="18"/>
      <c r="F705" s="18"/>
    </row>
    <row r="706" ht="15.75" customHeight="1">
      <c r="A706" s="18"/>
      <c r="B706" s="18"/>
      <c r="C706" s="18"/>
      <c r="D706" s="18"/>
      <c r="E706" s="18"/>
      <c r="F706" s="18"/>
    </row>
    <row r="707" ht="15.75" customHeight="1">
      <c r="A707" s="18"/>
      <c r="B707" s="18"/>
      <c r="C707" s="18"/>
      <c r="D707" s="18"/>
      <c r="E707" s="18"/>
      <c r="F707" s="18"/>
    </row>
    <row r="708" ht="15.75" customHeight="1">
      <c r="A708" s="18"/>
      <c r="B708" s="18"/>
      <c r="C708" s="18"/>
      <c r="D708" s="18"/>
      <c r="E708" s="18"/>
      <c r="F708" s="18"/>
    </row>
    <row r="709" ht="15.75" customHeight="1">
      <c r="A709" s="18"/>
      <c r="B709" s="18"/>
      <c r="C709" s="18"/>
      <c r="D709" s="18"/>
      <c r="E709" s="18"/>
      <c r="F709" s="18"/>
    </row>
    <row r="710" ht="15.75" customHeight="1">
      <c r="A710" s="18"/>
      <c r="B710" s="18"/>
      <c r="C710" s="18"/>
      <c r="D710" s="18"/>
      <c r="E710" s="18"/>
      <c r="F710" s="18"/>
    </row>
    <row r="711" ht="15.75" customHeight="1">
      <c r="A711" s="18"/>
      <c r="B711" s="18"/>
      <c r="C711" s="18"/>
      <c r="D711" s="18"/>
      <c r="E711" s="18"/>
      <c r="F711" s="18"/>
    </row>
    <row r="712" ht="15.75" customHeight="1">
      <c r="A712" s="18"/>
      <c r="B712" s="18"/>
      <c r="C712" s="18"/>
      <c r="D712" s="18"/>
      <c r="E712" s="18"/>
      <c r="F712" s="18"/>
    </row>
    <row r="713" ht="15.75" customHeight="1">
      <c r="A713" s="18"/>
      <c r="B713" s="18"/>
      <c r="C713" s="18"/>
      <c r="D713" s="18"/>
      <c r="E713" s="18"/>
      <c r="F713" s="18"/>
    </row>
    <row r="714" ht="15.75" customHeight="1">
      <c r="A714" s="18"/>
      <c r="B714" s="18"/>
      <c r="C714" s="18"/>
      <c r="D714" s="18"/>
      <c r="E714" s="18"/>
      <c r="F714" s="18"/>
    </row>
    <row r="715" ht="15.75" customHeight="1">
      <c r="A715" s="18"/>
      <c r="B715" s="18"/>
      <c r="C715" s="18"/>
      <c r="D715" s="18"/>
      <c r="E715" s="18"/>
      <c r="F715" s="18"/>
    </row>
    <row r="716" ht="15.75" customHeight="1">
      <c r="A716" s="18"/>
      <c r="B716" s="18"/>
      <c r="C716" s="18"/>
      <c r="D716" s="18"/>
      <c r="E716" s="18"/>
      <c r="F716" s="18"/>
    </row>
    <row r="717" ht="15.75" customHeight="1">
      <c r="A717" s="18"/>
      <c r="B717" s="18"/>
      <c r="C717" s="18"/>
      <c r="D717" s="18"/>
      <c r="E717" s="18"/>
      <c r="F717" s="18"/>
    </row>
    <row r="718" ht="15.75" customHeight="1">
      <c r="A718" s="18"/>
      <c r="B718" s="18"/>
      <c r="C718" s="18"/>
      <c r="D718" s="18"/>
      <c r="E718" s="18"/>
      <c r="F718" s="18"/>
    </row>
    <row r="719" ht="15.75" customHeight="1">
      <c r="A719" s="18"/>
      <c r="B719" s="18"/>
      <c r="C719" s="18"/>
      <c r="D719" s="18"/>
      <c r="E719" s="18"/>
      <c r="F719" s="18"/>
    </row>
    <row r="720" ht="15.75" customHeight="1">
      <c r="A720" s="18"/>
      <c r="B720" s="18"/>
      <c r="C720" s="18"/>
      <c r="D720" s="18"/>
      <c r="E720" s="18"/>
      <c r="F720" s="18"/>
    </row>
    <row r="721" ht="15.75" customHeight="1">
      <c r="A721" s="18"/>
      <c r="B721" s="18"/>
      <c r="C721" s="18"/>
      <c r="D721" s="18"/>
      <c r="E721" s="18"/>
      <c r="F721" s="18"/>
    </row>
    <row r="722" ht="15.75" customHeight="1">
      <c r="A722" s="18"/>
      <c r="B722" s="18"/>
      <c r="C722" s="18"/>
      <c r="D722" s="18"/>
      <c r="E722" s="18"/>
      <c r="F722" s="18"/>
    </row>
    <row r="723" ht="15.75" customHeight="1">
      <c r="A723" s="18"/>
      <c r="B723" s="18"/>
      <c r="C723" s="18"/>
      <c r="D723" s="18"/>
      <c r="E723" s="18"/>
      <c r="F723" s="18"/>
    </row>
    <row r="724" ht="15.75" customHeight="1">
      <c r="A724" s="18"/>
      <c r="B724" s="18"/>
      <c r="C724" s="18"/>
      <c r="D724" s="18"/>
      <c r="E724" s="18"/>
      <c r="F724" s="18"/>
    </row>
    <row r="725" ht="15.75" customHeight="1">
      <c r="A725" s="18"/>
      <c r="B725" s="18"/>
      <c r="C725" s="18"/>
      <c r="D725" s="18"/>
      <c r="E725" s="18"/>
      <c r="F725" s="18"/>
    </row>
    <row r="726" ht="15.75" customHeight="1">
      <c r="A726" s="18"/>
      <c r="B726" s="18"/>
      <c r="C726" s="18"/>
      <c r="D726" s="18"/>
      <c r="E726" s="18"/>
      <c r="F726" s="18"/>
    </row>
    <row r="727" ht="15.75" customHeight="1">
      <c r="A727" s="18"/>
      <c r="B727" s="18"/>
      <c r="C727" s="18"/>
      <c r="D727" s="18"/>
      <c r="E727" s="18"/>
      <c r="F727" s="18"/>
    </row>
    <row r="728" ht="15.75" customHeight="1">
      <c r="A728" s="18"/>
      <c r="B728" s="18"/>
      <c r="C728" s="18"/>
      <c r="D728" s="18"/>
      <c r="E728" s="18"/>
      <c r="F728" s="18"/>
    </row>
    <row r="729" ht="15.75" customHeight="1">
      <c r="A729" s="18"/>
      <c r="B729" s="18"/>
      <c r="C729" s="18"/>
      <c r="D729" s="18"/>
      <c r="E729" s="18"/>
      <c r="F729" s="18"/>
    </row>
    <row r="730" ht="15.75" customHeight="1">
      <c r="A730" s="18"/>
      <c r="B730" s="18"/>
      <c r="C730" s="18"/>
      <c r="D730" s="18"/>
      <c r="E730" s="18"/>
      <c r="F730" s="18"/>
    </row>
    <row r="731" ht="15.75" customHeight="1">
      <c r="A731" s="18"/>
      <c r="B731" s="18"/>
      <c r="C731" s="18"/>
      <c r="D731" s="18"/>
      <c r="E731" s="18"/>
      <c r="F731" s="18"/>
    </row>
    <row r="732" ht="15.75" customHeight="1">
      <c r="A732" s="18"/>
      <c r="B732" s="18"/>
      <c r="C732" s="18"/>
      <c r="D732" s="18"/>
      <c r="E732" s="18"/>
      <c r="F732" s="18"/>
    </row>
    <row r="733" ht="15.75" customHeight="1">
      <c r="A733" s="18"/>
      <c r="B733" s="18"/>
      <c r="C733" s="18"/>
      <c r="D733" s="18"/>
      <c r="E733" s="18"/>
      <c r="F733" s="18"/>
    </row>
    <row r="734" ht="15.75" customHeight="1">
      <c r="A734" s="18"/>
      <c r="B734" s="18"/>
      <c r="C734" s="18"/>
      <c r="D734" s="18"/>
      <c r="E734" s="18"/>
      <c r="F734" s="18"/>
    </row>
    <row r="735" ht="15.75" customHeight="1">
      <c r="A735" s="18"/>
      <c r="B735" s="18"/>
      <c r="C735" s="18"/>
      <c r="D735" s="18"/>
      <c r="E735" s="18"/>
      <c r="F735" s="18"/>
    </row>
    <row r="736" ht="15.75" customHeight="1">
      <c r="A736" s="18"/>
      <c r="B736" s="18"/>
      <c r="C736" s="18"/>
      <c r="D736" s="18"/>
      <c r="E736" s="18"/>
      <c r="F736" s="18"/>
    </row>
    <row r="737" ht="15.75" customHeight="1">
      <c r="A737" s="18"/>
      <c r="B737" s="18"/>
      <c r="C737" s="18"/>
      <c r="D737" s="18"/>
      <c r="E737" s="18"/>
      <c r="F737" s="18"/>
    </row>
    <row r="738" ht="15.75" customHeight="1">
      <c r="A738" s="18"/>
      <c r="B738" s="18"/>
      <c r="C738" s="18"/>
      <c r="D738" s="18"/>
      <c r="E738" s="18"/>
      <c r="F738" s="18"/>
    </row>
    <row r="739" ht="15.75" customHeight="1">
      <c r="A739" s="18"/>
      <c r="B739" s="18"/>
      <c r="C739" s="18"/>
      <c r="D739" s="18"/>
      <c r="E739" s="18"/>
      <c r="F739" s="18"/>
    </row>
    <row r="740" ht="15.75" customHeight="1">
      <c r="A740" s="18"/>
      <c r="B740" s="18"/>
      <c r="C740" s="18"/>
      <c r="D740" s="18"/>
      <c r="E740" s="18"/>
      <c r="F740" s="18"/>
    </row>
    <row r="741" ht="15.75" customHeight="1">
      <c r="A741" s="18"/>
      <c r="B741" s="18"/>
      <c r="C741" s="18"/>
      <c r="D741" s="18"/>
      <c r="E741" s="18"/>
      <c r="F741" s="18"/>
    </row>
    <row r="742" ht="15.75" customHeight="1">
      <c r="A742" s="18"/>
      <c r="B742" s="18"/>
      <c r="C742" s="18"/>
      <c r="D742" s="18"/>
      <c r="E742" s="18"/>
      <c r="F742" s="18"/>
    </row>
    <row r="743" ht="15.75" customHeight="1">
      <c r="A743" s="18"/>
      <c r="B743" s="18"/>
      <c r="C743" s="18"/>
      <c r="D743" s="18"/>
      <c r="E743" s="18"/>
      <c r="F743" s="18"/>
    </row>
    <row r="744" ht="15.75" customHeight="1">
      <c r="A744" s="18"/>
      <c r="B744" s="18"/>
      <c r="C744" s="18"/>
      <c r="D744" s="18"/>
      <c r="E744" s="18"/>
      <c r="F744" s="18"/>
    </row>
    <row r="745" ht="15.75" customHeight="1">
      <c r="A745" s="18"/>
      <c r="B745" s="18"/>
      <c r="C745" s="18"/>
      <c r="D745" s="18"/>
      <c r="E745" s="18"/>
      <c r="F745" s="18"/>
    </row>
    <row r="746" ht="15.75" customHeight="1">
      <c r="A746" s="18"/>
      <c r="B746" s="18"/>
      <c r="C746" s="18"/>
      <c r="D746" s="18"/>
      <c r="E746" s="18"/>
      <c r="F746" s="18"/>
    </row>
    <row r="747" ht="15.75" customHeight="1">
      <c r="A747" s="18"/>
      <c r="B747" s="18"/>
      <c r="C747" s="18"/>
      <c r="D747" s="18"/>
      <c r="E747" s="18"/>
      <c r="F747" s="18"/>
    </row>
    <row r="748" ht="15.75" customHeight="1">
      <c r="A748" s="18"/>
      <c r="B748" s="18"/>
      <c r="C748" s="18"/>
      <c r="D748" s="18"/>
      <c r="E748" s="18"/>
      <c r="F748" s="18"/>
    </row>
    <row r="749" ht="15.75" customHeight="1">
      <c r="A749" s="18"/>
      <c r="B749" s="18"/>
      <c r="C749" s="18"/>
      <c r="D749" s="18"/>
      <c r="E749" s="18"/>
      <c r="F749" s="18"/>
    </row>
    <row r="750" ht="15.75" customHeight="1">
      <c r="A750" s="18"/>
      <c r="B750" s="18"/>
      <c r="C750" s="18"/>
      <c r="D750" s="18"/>
      <c r="E750" s="18"/>
      <c r="F750" s="18"/>
    </row>
    <row r="751" ht="15.75" customHeight="1">
      <c r="A751" s="18"/>
      <c r="B751" s="18"/>
      <c r="C751" s="18"/>
      <c r="D751" s="18"/>
      <c r="E751" s="18"/>
      <c r="F751" s="18"/>
    </row>
    <row r="752" ht="15.75" customHeight="1">
      <c r="A752" s="18"/>
      <c r="B752" s="18"/>
      <c r="C752" s="18"/>
      <c r="D752" s="18"/>
      <c r="E752" s="18"/>
      <c r="F752" s="18"/>
    </row>
    <row r="753" ht="15.75" customHeight="1">
      <c r="A753" s="18"/>
      <c r="B753" s="18"/>
      <c r="C753" s="18"/>
      <c r="D753" s="18"/>
      <c r="E753" s="18"/>
      <c r="F753" s="18"/>
    </row>
    <row r="754" ht="15.75" customHeight="1">
      <c r="A754" s="18"/>
      <c r="B754" s="18"/>
      <c r="C754" s="18"/>
      <c r="D754" s="18"/>
      <c r="E754" s="18"/>
      <c r="F754" s="18"/>
    </row>
    <row r="755" ht="15.75" customHeight="1">
      <c r="A755" s="18"/>
      <c r="B755" s="18"/>
      <c r="C755" s="18"/>
      <c r="D755" s="18"/>
      <c r="E755" s="18"/>
      <c r="F755" s="18"/>
    </row>
    <row r="756" ht="15.75" customHeight="1">
      <c r="A756" s="18"/>
      <c r="B756" s="18"/>
      <c r="C756" s="18"/>
      <c r="D756" s="18"/>
      <c r="E756" s="18"/>
      <c r="F756" s="18"/>
    </row>
    <row r="757" ht="15.75" customHeight="1">
      <c r="A757" s="18"/>
      <c r="B757" s="18"/>
      <c r="C757" s="18"/>
      <c r="D757" s="18"/>
      <c r="E757" s="18"/>
      <c r="F757" s="18"/>
    </row>
    <row r="758" ht="15.75" customHeight="1">
      <c r="A758" s="18"/>
      <c r="B758" s="18"/>
      <c r="C758" s="18"/>
      <c r="D758" s="18"/>
      <c r="E758" s="18"/>
      <c r="F758" s="18"/>
    </row>
    <row r="759" ht="15.75" customHeight="1">
      <c r="A759" s="18"/>
      <c r="B759" s="18"/>
      <c r="C759" s="18"/>
      <c r="D759" s="18"/>
      <c r="E759" s="18"/>
      <c r="F759" s="18"/>
    </row>
    <row r="760" ht="15.75" customHeight="1">
      <c r="A760" s="18"/>
      <c r="B760" s="18"/>
      <c r="C760" s="18"/>
      <c r="D760" s="18"/>
      <c r="E760" s="18"/>
      <c r="F760" s="18"/>
    </row>
    <row r="761" ht="15.75" customHeight="1">
      <c r="A761" s="18"/>
      <c r="B761" s="18"/>
      <c r="C761" s="18"/>
      <c r="D761" s="18"/>
      <c r="E761" s="18"/>
      <c r="F761" s="18"/>
    </row>
    <row r="762" ht="15.75" customHeight="1">
      <c r="A762" s="18"/>
      <c r="B762" s="18"/>
      <c r="C762" s="18"/>
      <c r="D762" s="18"/>
      <c r="E762" s="18"/>
      <c r="F762" s="18"/>
    </row>
    <row r="763" ht="15.75" customHeight="1">
      <c r="A763" s="18"/>
      <c r="B763" s="18"/>
      <c r="C763" s="18"/>
      <c r="D763" s="18"/>
      <c r="E763" s="18"/>
      <c r="F763" s="18"/>
    </row>
    <row r="764" ht="15.75" customHeight="1">
      <c r="A764" s="18"/>
      <c r="B764" s="18"/>
      <c r="C764" s="18"/>
      <c r="D764" s="18"/>
      <c r="E764" s="18"/>
      <c r="F764" s="18"/>
    </row>
    <row r="765" ht="15.75" customHeight="1">
      <c r="A765" s="18"/>
      <c r="B765" s="18"/>
      <c r="C765" s="18"/>
      <c r="D765" s="18"/>
      <c r="E765" s="18"/>
      <c r="F765" s="18"/>
    </row>
    <row r="766" ht="15.75" customHeight="1">
      <c r="A766" s="18"/>
      <c r="B766" s="18"/>
      <c r="C766" s="18"/>
      <c r="D766" s="18"/>
      <c r="E766" s="18"/>
      <c r="F766" s="18"/>
    </row>
    <row r="767" ht="15.75" customHeight="1">
      <c r="A767" s="18"/>
      <c r="B767" s="18"/>
      <c r="C767" s="18"/>
      <c r="D767" s="18"/>
      <c r="E767" s="18"/>
      <c r="F767" s="18"/>
    </row>
    <row r="768" ht="15.75" customHeight="1">
      <c r="A768" s="18"/>
      <c r="B768" s="18"/>
      <c r="C768" s="18"/>
      <c r="D768" s="18"/>
      <c r="E768" s="18"/>
      <c r="F768" s="18"/>
    </row>
    <row r="769" ht="15.75" customHeight="1">
      <c r="A769" s="18"/>
      <c r="B769" s="18"/>
      <c r="C769" s="18"/>
      <c r="D769" s="18"/>
      <c r="E769" s="18"/>
      <c r="F769" s="18"/>
    </row>
    <row r="770" ht="15.75" customHeight="1">
      <c r="A770" s="18"/>
      <c r="B770" s="18"/>
      <c r="C770" s="18"/>
      <c r="D770" s="18"/>
      <c r="E770" s="18"/>
      <c r="F770" s="18"/>
    </row>
    <row r="771" ht="15.75" customHeight="1">
      <c r="A771" s="18"/>
      <c r="B771" s="18"/>
      <c r="C771" s="18"/>
      <c r="D771" s="18"/>
      <c r="E771" s="18"/>
      <c r="F771" s="18"/>
    </row>
    <row r="772" ht="15.75" customHeight="1">
      <c r="A772" s="18"/>
      <c r="B772" s="18"/>
      <c r="C772" s="18"/>
      <c r="D772" s="18"/>
      <c r="E772" s="18"/>
      <c r="F772" s="18"/>
    </row>
    <row r="773" ht="15.75" customHeight="1">
      <c r="A773" s="18"/>
      <c r="B773" s="18"/>
      <c r="C773" s="18"/>
      <c r="D773" s="18"/>
      <c r="E773" s="18"/>
      <c r="F773" s="18"/>
    </row>
    <row r="774" ht="15.75" customHeight="1">
      <c r="A774" s="18"/>
      <c r="B774" s="18"/>
      <c r="C774" s="18"/>
      <c r="D774" s="18"/>
      <c r="E774" s="18"/>
      <c r="F774" s="18"/>
    </row>
    <row r="775" ht="15.75" customHeight="1">
      <c r="A775" s="18"/>
      <c r="B775" s="18"/>
      <c r="C775" s="18"/>
      <c r="D775" s="18"/>
      <c r="E775" s="18"/>
      <c r="F775" s="18"/>
    </row>
    <row r="776" ht="15.75" customHeight="1">
      <c r="A776" s="18"/>
      <c r="B776" s="18"/>
      <c r="C776" s="18"/>
      <c r="D776" s="18"/>
      <c r="E776" s="18"/>
      <c r="F776" s="18"/>
    </row>
    <row r="777" ht="15.75" customHeight="1">
      <c r="A777" s="18"/>
      <c r="B777" s="18"/>
      <c r="C777" s="18"/>
      <c r="D777" s="18"/>
      <c r="E777" s="18"/>
      <c r="F777" s="18"/>
    </row>
    <row r="778" ht="15.75" customHeight="1">
      <c r="A778" s="18"/>
      <c r="B778" s="18"/>
      <c r="C778" s="18"/>
      <c r="D778" s="18"/>
      <c r="E778" s="18"/>
      <c r="F778" s="18"/>
    </row>
    <row r="779" ht="15.75" customHeight="1">
      <c r="A779" s="18"/>
      <c r="B779" s="18"/>
      <c r="C779" s="18"/>
      <c r="D779" s="18"/>
      <c r="E779" s="18"/>
      <c r="F779" s="18"/>
    </row>
    <row r="780" ht="15.75" customHeight="1">
      <c r="A780" s="18"/>
      <c r="B780" s="18"/>
      <c r="C780" s="18"/>
      <c r="D780" s="18"/>
      <c r="E780" s="18"/>
      <c r="F780" s="18"/>
    </row>
    <row r="781" ht="15.75" customHeight="1">
      <c r="A781" s="18"/>
      <c r="B781" s="18"/>
      <c r="C781" s="18"/>
      <c r="D781" s="18"/>
      <c r="E781" s="18"/>
      <c r="F781" s="18"/>
    </row>
    <row r="782" ht="15.75" customHeight="1">
      <c r="A782" s="18"/>
      <c r="B782" s="18"/>
      <c r="C782" s="18"/>
      <c r="D782" s="18"/>
      <c r="E782" s="18"/>
      <c r="F782" s="18"/>
    </row>
    <row r="783" ht="15.75" customHeight="1">
      <c r="A783" s="18"/>
      <c r="B783" s="18"/>
      <c r="C783" s="18"/>
      <c r="D783" s="18"/>
      <c r="E783" s="18"/>
      <c r="F783" s="18"/>
    </row>
    <row r="784" ht="15.75" customHeight="1">
      <c r="A784" s="18"/>
      <c r="B784" s="18"/>
      <c r="C784" s="18"/>
      <c r="D784" s="18"/>
      <c r="E784" s="18"/>
      <c r="F784" s="18"/>
    </row>
    <row r="785" ht="15.75" customHeight="1">
      <c r="A785" s="18"/>
      <c r="B785" s="18"/>
      <c r="C785" s="18"/>
      <c r="D785" s="18"/>
      <c r="E785" s="18"/>
      <c r="F785" s="18"/>
    </row>
    <row r="786" ht="15.75" customHeight="1">
      <c r="A786" s="18"/>
      <c r="B786" s="18"/>
      <c r="C786" s="18"/>
      <c r="D786" s="18"/>
      <c r="E786" s="18"/>
      <c r="F786" s="18"/>
    </row>
    <row r="787" ht="15.75" customHeight="1">
      <c r="A787" s="18"/>
      <c r="B787" s="18"/>
      <c r="C787" s="18"/>
      <c r="D787" s="18"/>
      <c r="E787" s="18"/>
      <c r="F787" s="18"/>
    </row>
    <row r="788" ht="15.75" customHeight="1">
      <c r="A788" s="18"/>
      <c r="B788" s="18"/>
      <c r="C788" s="18"/>
      <c r="D788" s="18"/>
      <c r="E788" s="18"/>
      <c r="F788" s="18"/>
    </row>
    <row r="789" ht="15.75" customHeight="1">
      <c r="A789" s="18"/>
      <c r="B789" s="18"/>
      <c r="C789" s="18"/>
      <c r="D789" s="18"/>
      <c r="E789" s="18"/>
      <c r="F789" s="18"/>
    </row>
    <row r="790" ht="15.75" customHeight="1">
      <c r="A790" s="18"/>
      <c r="B790" s="18"/>
      <c r="C790" s="18"/>
      <c r="D790" s="18"/>
      <c r="E790" s="18"/>
      <c r="F790" s="18"/>
    </row>
    <row r="791" ht="15.75" customHeight="1">
      <c r="A791" s="18"/>
      <c r="B791" s="18"/>
      <c r="C791" s="18"/>
      <c r="D791" s="18"/>
      <c r="E791" s="18"/>
      <c r="F791" s="18"/>
    </row>
    <row r="792" ht="15.75" customHeight="1">
      <c r="A792" s="18"/>
      <c r="B792" s="18"/>
      <c r="C792" s="18"/>
      <c r="D792" s="18"/>
      <c r="E792" s="18"/>
      <c r="F792" s="18"/>
    </row>
    <row r="793" ht="15.75" customHeight="1">
      <c r="A793" s="18"/>
      <c r="B793" s="18"/>
      <c r="C793" s="18"/>
      <c r="D793" s="18"/>
      <c r="E793" s="18"/>
      <c r="F793" s="18"/>
    </row>
    <row r="794" ht="15.75" customHeight="1">
      <c r="A794" s="18"/>
      <c r="B794" s="18"/>
      <c r="C794" s="18"/>
      <c r="D794" s="18"/>
      <c r="E794" s="18"/>
      <c r="F794" s="18"/>
    </row>
    <row r="795" ht="15.75" customHeight="1">
      <c r="A795" s="18"/>
      <c r="B795" s="18"/>
      <c r="C795" s="18"/>
      <c r="D795" s="18"/>
      <c r="E795" s="18"/>
      <c r="F795" s="18"/>
    </row>
    <row r="796" ht="15.75" customHeight="1">
      <c r="A796" s="18"/>
      <c r="B796" s="18"/>
      <c r="C796" s="18"/>
      <c r="D796" s="18"/>
      <c r="E796" s="18"/>
      <c r="F796" s="18"/>
    </row>
    <row r="797" ht="15.75" customHeight="1">
      <c r="A797" s="18"/>
      <c r="B797" s="18"/>
      <c r="C797" s="18"/>
      <c r="D797" s="18"/>
      <c r="E797" s="18"/>
      <c r="F797" s="18"/>
    </row>
    <row r="798" ht="15.75" customHeight="1">
      <c r="A798" s="18"/>
      <c r="B798" s="18"/>
      <c r="C798" s="18"/>
      <c r="D798" s="18"/>
      <c r="E798" s="18"/>
      <c r="F798" s="18"/>
    </row>
    <row r="799" ht="15.75" customHeight="1">
      <c r="A799" s="18"/>
      <c r="B799" s="18"/>
      <c r="C799" s="18"/>
      <c r="D799" s="18"/>
      <c r="E799" s="18"/>
      <c r="F799" s="18"/>
    </row>
    <row r="800" ht="15.75" customHeight="1">
      <c r="A800" s="18"/>
      <c r="B800" s="18"/>
      <c r="C800" s="18"/>
      <c r="D800" s="18"/>
      <c r="E800" s="18"/>
      <c r="F800" s="18"/>
    </row>
    <row r="801" ht="15.75" customHeight="1">
      <c r="A801" s="18"/>
      <c r="B801" s="18"/>
      <c r="C801" s="18"/>
      <c r="D801" s="18"/>
      <c r="E801" s="18"/>
      <c r="F801" s="18"/>
    </row>
    <row r="802" ht="15.75" customHeight="1">
      <c r="A802" s="18"/>
      <c r="B802" s="18"/>
      <c r="C802" s="18"/>
      <c r="D802" s="18"/>
      <c r="E802" s="18"/>
      <c r="F802" s="18"/>
    </row>
    <row r="803" ht="15.75" customHeight="1">
      <c r="A803" s="18"/>
      <c r="B803" s="18"/>
      <c r="C803" s="18"/>
      <c r="D803" s="18"/>
      <c r="E803" s="18"/>
      <c r="F803" s="18"/>
    </row>
    <row r="804" ht="15.75" customHeight="1">
      <c r="A804" s="18"/>
      <c r="B804" s="18"/>
      <c r="C804" s="18"/>
      <c r="D804" s="18"/>
      <c r="E804" s="18"/>
      <c r="F804" s="18"/>
    </row>
    <row r="805" ht="15.75" customHeight="1">
      <c r="A805" s="18"/>
      <c r="B805" s="18"/>
      <c r="C805" s="18"/>
      <c r="D805" s="18"/>
      <c r="E805" s="18"/>
      <c r="F805" s="18"/>
    </row>
    <row r="806" ht="15.75" customHeight="1">
      <c r="A806" s="18"/>
      <c r="B806" s="18"/>
      <c r="C806" s="18"/>
      <c r="D806" s="18"/>
      <c r="E806" s="18"/>
      <c r="F806" s="18"/>
    </row>
    <row r="807" ht="15.75" customHeight="1">
      <c r="A807" s="18"/>
      <c r="B807" s="18"/>
      <c r="C807" s="18"/>
      <c r="D807" s="18"/>
      <c r="E807" s="18"/>
      <c r="F807" s="18"/>
    </row>
    <row r="808" ht="15.75" customHeight="1">
      <c r="A808" s="18"/>
      <c r="B808" s="18"/>
      <c r="C808" s="18"/>
      <c r="D808" s="18"/>
      <c r="E808" s="18"/>
      <c r="F808" s="18"/>
    </row>
    <row r="809" ht="15.75" customHeight="1">
      <c r="A809" s="18"/>
      <c r="B809" s="18"/>
      <c r="C809" s="18"/>
      <c r="D809" s="18"/>
      <c r="E809" s="18"/>
      <c r="F809" s="18"/>
    </row>
    <row r="810" ht="15.75" customHeight="1">
      <c r="A810" s="18"/>
      <c r="B810" s="18"/>
      <c r="C810" s="18"/>
      <c r="D810" s="18"/>
      <c r="E810" s="18"/>
      <c r="F810" s="18"/>
    </row>
    <row r="811" ht="15.75" customHeight="1">
      <c r="A811" s="18"/>
      <c r="B811" s="18"/>
      <c r="C811" s="18"/>
      <c r="D811" s="18"/>
      <c r="E811" s="18"/>
      <c r="F811" s="18"/>
    </row>
    <row r="812" ht="15.75" customHeight="1">
      <c r="A812" s="18"/>
      <c r="B812" s="18"/>
      <c r="C812" s="18"/>
      <c r="D812" s="18"/>
      <c r="E812" s="18"/>
      <c r="F812" s="18"/>
    </row>
    <row r="813" ht="15.75" customHeight="1">
      <c r="A813" s="18"/>
      <c r="B813" s="18"/>
      <c r="C813" s="18"/>
      <c r="D813" s="18"/>
      <c r="E813" s="18"/>
      <c r="F813" s="18"/>
    </row>
    <row r="814" ht="15.75" customHeight="1">
      <c r="A814" s="18"/>
      <c r="B814" s="18"/>
      <c r="C814" s="18"/>
      <c r="D814" s="18"/>
      <c r="E814" s="18"/>
      <c r="F814" s="18"/>
    </row>
    <row r="815" ht="15.75" customHeight="1">
      <c r="A815" s="18"/>
      <c r="B815" s="18"/>
      <c r="C815" s="18"/>
      <c r="D815" s="18"/>
      <c r="E815" s="18"/>
      <c r="F815" s="18"/>
    </row>
    <row r="816" ht="15.75" customHeight="1">
      <c r="A816" s="18"/>
      <c r="B816" s="18"/>
      <c r="C816" s="18"/>
      <c r="D816" s="18"/>
      <c r="E816" s="18"/>
      <c r="F816" s="18"/>
    </row>
    <row r="817" ht="15.75" customHeight="1">
      <c r="A817" s="18"/>
      <c r="B817" s="18"/>
      <c r="C817" s="18"/>
      <c r="D817" s="18"/>
      <c r="E817" s="18"/>
      <c r="F817" s="18"/>
    </row>
    <row r="818" ht="15.75" customHeight="1">
      <c r="A818" s="18"/>
      <c r="B818" s="18"/>
      <c r="C818" s="18"/>
      <c r="D818" s="18"/>
      <c r="E818" s="18"/>
      <c r="F818" s="18"/>
    </row>
    <row r="819" ht="15.75" customHeight="1">
      <c r="A819" s="18"/>
      <c r="B819" s="18"/>
      <c r="C819" s="18"/>
      <c r="D819" s="18"/>
      <c r="E819" s="18"/>
      <c r="F819" s="18"/>
    </row>
    <row r="820" ht="15.75" customHeight="1">
      <c r="A820" s="18"/>
      <c r="B820" s="18"/>
      <c r="C820" s="18"/>
      <c r="D820" s="18"/>
      <c r="E820" s="18"/>
      <c r="F820" s="18"/>
    </row>
    <row r="821" ht="15.75" customHeight="1">
      <c r="A821" s="18"/>
      <c r="B821" s="18"/>
      <c r="C821" s="18"/>
      <c r="D821" s="18"/>
      <c r="E821" s="18"/>
      <c r="F821" s="18"/>
    </row>
    <row r="822" ht="15.75" customHeight="1">
      <c r="A822" s="18"/>
      <c r="B822" s="18"/>
      <c r="C822" s="18"/>
      <c r="D822" s="18"/>
      <c r="E822" s="18"/>
      <c r="F822" s="18"/>
    </row>
    <row r="823" ht="15.75" customHeight="1">
      <c r="A823" s="18"/>
      <c r="B823" s="18"/>
      <c r="C823" s="18"/>
      <c r="D823" s="18"/>
      <c r="E823" s="18"/>
      <c r="F823" s="18"/>
    </row>
    <row r="824" ht="15.75" customHeight="1">
      <c r="A824" s="18"/>
      <c r="B824" s="18"/>
      <c r="C824" s="18"/>
      <c r="D824" s="18"/>
      <c r="E824" s="18"/>
      <c r="F824" s="18"/>
    </row>
    <row r="825" ht="15.75" customHeight="1">
      <c r="A825" s="18"/>
      <c r="B825" s="18"/>
      <c r="C825" s="18"/>
      <c r="D825" s="18"/>
      <c r="E825" s="18"/>
      <c r="F825" s="18"/>
    </row>
    <row r="826" ht="15.75" customHeight="1">
      <c r="A826" s="18"/>
      <c r="B826" s="18"/>
      <c r="C826" s="18"/>
      <c r="D826" s="18"/>
      <c r="E826" s="18"/>
      <c r="F826" s="18"/>
    </row>
    <row r="827" ht="15.75" customHeight="1">
      <c r="A827" s="18"/>
      <c r="B827" s="18"/>
      <c r="C827" s="18"/>
      <c r="D827" s="18"/>
      <c r="E827" s="18"/>
      <c r="F827" s="18"/>
    </row>
    <row r="828" ht="15.75" customHeight="1">
      <c r="A828" s="18"/>
      <c r="B828" s="18"/>
      <c r="C828" s="18"/>
      <c r="D828" s="18"/>
      <c r="E828" s="18"/>
      <c r="F828" s="18"/>
    </row>
    <row r="829" ht="15.75" customHeight="1">
      <c r="A829" s="18"/>
      <c r="B829" s="18"/>
      <c r="C829" s="18"/>
      <c r="D829" s="18"/>
      <c r="E829" s="18"/>
      <c r="F829" s="18"/>
    </row>
    <row r="830" ht="15.75" customHeight="1">
      <c r="A830" s="18"/>
      <c r="B830" s="18"/>
      <c r="C830" s="18"/>
      <c r="D830" s="18"/>
      <c r="E830" s="18"/>
      <c r="F830" s="18"/>
    </row>
    <row r="831" ht="15.75" customHeight="1">
      <c r="A831" s="18"/>
      <c r="B831" s="18"/>
      <c r="C831" s="18"/>
      <c r="D831" s="18"/>
      <c r="E831" s="18"/>
      <c r="F831" s="18"/>
    </row>
    <row r="832" ht="15.75" customHeight="1">
      <c r="A832" s="18"/>
      <c r="B832" s="18"/>
      <c r="C832" s="18"/>
      <c r="D832" s="18"/>
      <c r="E832" s="18"/>
      <c r="F832" s="18"/>
    </row>
    <row r="833" ht="15.75" customHeight="1">
      <c r="A833" s="18"/>
      <c r="B833" s="18"/>
      <c r="C833" s="18"/>
      <c r="D833" s="18"/>
      <c r="E833" s="18"/>
      <c r="F833" s="18"/>
    </row>
    <row r="834" ht="15.75" customHeight="1">
      <c r="A834" s="18"/>
      <c r="B834" s="18"/>
      <c r="C834" s="18"/>
      <c r="D834" s="18"/>
      <c r="E834" s="18"/>
      <c r="F834" s="18"/>
    </row>
    <row r="835" ht="15.75" customHeight="1">
      <c r="A835" s="18"/>
      <c r="B835" s="18"/>
      <c r="C835" s="18"/>
      <c r="D835" s="18"/>
      <c r="E835" s="18"/>
      <c r="F835" s="18"/>
    </row>
    <row r="836" ht="15.75" customHeight="1">
      <c r="A836" s="18"/>
      <c r="B836" s="18"/>
      <c r="C836" s="18"/>
      <c r="D836" s="18"/>
      <c r="E836" s="18"/>
      <c r="F836" s="18"/>
    </row>
    <row r="837" ht="15.75" customHeight="1">
      <c r="A837" s="18"/>
      <c r="B837" s="18"/>
      <c r="C837" s="18"/>
      <c r="D837" s="18"/>
      <c r="E837" s="18"/>
      <c r="F837" s="18"/>
    </row>
    <row r="838" ht="15.75" customHeight="1">
      <c r="A838" s="18"/>
      <c r="B838" s="18"/>
      <c r="C838" s="18"/>
      <c r="D838" s="18"/>
      <c r="E838" s="18"/>
      <c r="F838" s="18"/>
    </row>
    <row r="839" ht="15.75" customHeight="1">
      <c r="A839" s="18"/>
      <c r="B839" s="18"/>
      <c r="C839" s="18"/>
      <c r="D839" s="18"/>
      <c r="E839" s="18"/>
      <c r="F839" s="18"/>
    </row>
    <row r="840" ht="15.75" customHeight="1">
      <c r="A840" s="18"/>
      <c r="B840" s="18"/>
      <c r="C840" s="18"/>
      <c r="D840" s="18"/>
      <c r="E840" s="18"/>
      <c r="F840" s="18"/>
    </row>
    <row r="841" ht="15.75" customHeight="1">
      <c r="A841" s="18"/>
      <c r="B841" s="18"/>
      <c r="C841" s="18"/>
      <c r="D841" s="18"/>
      <c r="E841" s="18"/>
      <c r="F841" s="18"/>
    </row>
    <row r="842" ht="15.75" customHeight="1">
      <c r="A842" s="18"/>
      <c r="B842" s="18"/>
      <c r="C842" s="18"/>
      <c r="D842" s="18"/>
      <c r="E842" s="18"/>
      <c r="F842" s="18"/>
    </row>
    <row r="843" ht="15.75" customHeight="1">
      <c r="A843" s="18"/>
      <c r="B843" s="18"/>
      <c r="C843" s="18"/>
      <c r="D843" s="18"/>
      <c r="E843" s="18"/>
      <c r="F843" s="18"/>
    </row>
    <row r="844" ht="15.75" customHeight="1">
      <c r="A844" s="18"/>
      <c r="B844" s="18"/>
      <c r="C844" s="18"/>
      <c r="D844" s="18"/>
      <c r="E844" s="18"/>
      <c r="F844" s="18"/>
    </row>
    <row r="845" ht="15.75" customHeight="1">
      <c r="A845" s="18"/>
      <c r="B845" s="18"/>
      <c r="C845" s="18"/>
      <c r="D845" s="18"/>
      <c r="E845" s="18"/>
      <c r="F845" s="18"/>
    </row>
    <row r="846" ht="15.75" customHeight="1">
      <c r="A846" s="18"/>
      <c r="B846" s="18"/>
      <c r="C846" s="18"/>
      <c r="D846" s="18"/>
      <c r="E846" s="18"/>
      <c r="F846" s="18"/>
    </row>
    <row r="847" ht="15.75" customHeight="1">
      <c r="A847" s="18"/>
      <c r="B847" s="18"/>
      <c r="C847" s="18"/>
      <c r="D847" s="18"/>
      <c r="E847" s="18"/>
      <c r="F847" s="18"/>
    </row>
    <row r="848" ht="15.75" customHeight="1">
      <c r="A848" s="18"/>
      <c r="B848" s="18"/>
      <c r="C848" s="18"/>
      <c r="D848" s="18"/>
      <c r="E848" s="18"/>
      <c r="F848" s="18"/>
    </row>
    <row r="849" ht="15.75" customHeight="1">
      <c r="A849" s="18"/>
      <c r="B849" s="18"/>
      <c r="C849" s="18"/>
      <c r="D849" s="18"/>
      <c r="E849" s="18"/>
      <c r="F849" s="18"/>
    </row>
    <row r="850" ht="15.75" customHeight="1">
      <c r="A850" s="18"/>
      <c r="B850" s="18"/>
      <c r="C850" s="18"/>
      <c r="D850" s="18"/>
      <c r="E850" s="18"/>
      <c r="F850" s="18"/>
    </row>
    <row r="851" ht="15.75" customHeight="1">
      <c r="A851" s="18"/>
      <c r="B851" s="18"/>
      <c r="C851" s="18"/>
      <c r="D851" s="18"/>
      <c r="E851" s="18"/>
      <c r="F851" s="18"/>
    </row>
    <row r="852" ht="15.75" customHeight="1">
      <c r="A852" s="18"/>
      <c r="B852" s="18"/>
      <c r="C852" s="18"/>
      <c r="D852" s="18"/>
      <c r="E852" s="18"/>
      <c r="F852" s="18"/>
    </row>
    <row r="853" ht="15.75" customHeight="1">
      <c r="A853" s="18"/>
      <c r="B853" s="18"/>
      <c r="C853" s="18"/>
      <c r="D853" s="18"/>
      <c r="E853" s="18"/>
      <c r="F853" s="18"/>
    </row>
    <row r="854" ht="15.75" customHeight="1">
      <c r="A854" s="18"/>
      <c r="B854" s="18"/>
      <c r="C854" s="18"/>
      <c r="D854" s="18"/>
      <c r="E854" s="18"/>
      <c r="F854" s="18"/>
    </row>
    <row r="855" ht="15.75" customHeight="1">
      <c r="A855" s="18"/>
      <c r="B855" s="18"/>
      <c r="C855" s="18"/>
      <c r="D855" s="18"/>
      <c r="E855" s="18"/>
      <c r="F855" s="18"/>
    </row>
    <row r="856" ht="15.75" customHeight="1">
      <c r="A856" s="18"/>
      <c r="B856" s="18"/>
      <c r="C856" s="18"/>
      <c r="D856" s="18"/>
      <c r="E856" s="18"/>
      <c r="F856" s="18"/>
    </row>
    <row r="857" ht="15.75" customHeight="1">
      <c r="A857" s="18"/>
      <c r="B857" s="18"/>
      <c r="C857" s="18"/>
      <c r="D857" s="18"/>
      <c r="E857" s="18"/>
      <c r="F857" s="18"/>
    </row>
    <row r="858" ht="15.75" customHeight="1">
      <c r="A858" s="18"/>
      <c r="B858" s="18"/>
      <c r="C858" s="18"/>
      <c r="D858" s="18"/>
      <c r="E858" s="18"/>
      <c r="F858" s="18"/>
    </row>
    <row r="859" ht="15.75" customHeight="1">
      <c r="A859" s="18"/>
      <c r="B859" s="18"/>
      <c r="C859" s="18"/>
      <c r="D859" s="18"/>
      <c r="E859" s="18"/>
      <c r="F859" s="18"/>
    </row>
    <row r="860" ht="15.75" customHeight="1">
      <c r="A860" s="18"/>
      <c r="B860" s="18"/>
      <c r="C860" s="18"/>
      <c r="D860" s="18"/>
      <c r="E860" s="18"/>
      <c r="F860" s="18"/>
    </row>
    <row r="861" ht="15.75" customHeight="1">
      <c r="A861" s="18"/>
      <c r="B861" s="18"/>
      <c r="C861" s="18"/>
      <c r="D861" s="18"/>
      <c r="E861" s="18"/>
      <c r="F861" s="18"/>
    </row>
    <row r="862" ht="15.75" customHeight="1">
      <c r="A862" s="18"/>
      <c r="B862" s="18"/>
      <c r="C862" s="18"/>
      <c r="D862" s="18"/>
      <c r="E862" s="18"/>
      <c r="F862" s="18"/>
    </row>
    <row r="863" ht="15.75" customHeight="1">
      <c r="A863" s="18"/>
      <c r="B863" s="18"/>
      <c r="C863" s="18"/>
      <c r="D863" s="18"/>
      <c r="E863" s="18"/>
      <c r="F863" s="18"/>
    </row>
    <row r="864" ht="15.75" customHeight="1">
      <c r="A864" s="18"/>
      <c r="B864" s="18"/>
      <c r="C864" s="18"/>
      <c r="D864" s="18"/>
      <c r="E864" s="18"/>
      <c r="F864" s="18"/>
    </row>
    <row r="865" ht="15.75" customHeight="1">
      <c r="A865" s="18"/>
      <c r="B865" s="18"/>
      <c r="C865" s="18"/>
      <c r="D865" s="18"/>
      <c r="E865" s="18"/>
      <c r="F865" s="18"/>
    </row>
    <row r="866" ht="15.75" customHeight="1">
      <c r="A866" s="18"/>
      <c r="B866" s="18"/>
      <c r="C866" s="18"/>
      <c r="D866" s="18"/>
      <c r="E866" s="18"/>
      <c r="F866" s="18"/>
    </row>
    <row r="867" ht="15.75" customHeight="1">
      <c r="A867" s="18"/>
      <c r="B867" s="18"/>
      <c r="C867" s="18"/>
      <c r="D867" s="18"/>
      <c r="E867" s="18"/>
      <c r="F867" s="18"/>
    </row>
    <row r="868" ht="15.75" customHeight="1">
      <c r="A868" s="18"/>
      <c r="B868" s="18"/>
      <c r="C868" s="18"/>
      <c r="D868" s="18"/>
      <c r="E868" s="18"/>
      <c r="F868" s="18"/>
    </row>
    <row r="869" ht="15.75" customHeight="1">
      <c r="A869" s="18"/>
      <c r="B869" s="18"/>
      <c r="C869" s="18"/>
      <c r="D869" s="18"/>
      <c r="E869" s="18"/>
      <c r="F869" s="18"/>
    </row>
    <row r="870" ht="15.75" customHeight="1">
      <c r="A870" s="18"/>
      <c r="B870" s="18"/>
      <c r="C870" s="18"/>
      <c r="D870" s="18"/>
      <c r="E870" s="18"/>
      <c r="F870" s="18"/>
    </row>
    <row r="871" ht="15.75" customHeight="1">
      <c r="A871" s="18"/>
      <c r="B871" s="18"/>
      <c r="C871" s="18"/>
      <c r="D871" s="18"/>
      <c r="E871" s="18"/>
      <c r="F871" s="18"/>
    </row>
    <row r="872" ht="15.75" customHeight="1">
      <c r="A872" s="18"/>
      <c r="B872" s="18"/>
      <c r="C872" s="18"/>
      <c r="D872" s="18"/>
      <c r="E872" s="18"/>
      <c r="F872" s="18"/>
    </row>
    <row r="873" ht="15.75" customHeight="1">
      <c r="A873" s="18"/>
      <c r="B873" s="18"/>
      <c r="C873" s="18"/>
      <c r="D873" s="18"/>
      <c r="E873" s="18"/>
      <c r="F873" s="18"/>
    </row>
    <row r="874" ht="15.75" customHeight="1">
      <c r="A874" s="18"/>
      <c r="B874" s="18"/>
      <c r="C874" s="18"/>
      <c r="D874" s="18"/>
      <c r="E874" s="18"/>
      <c r="F874" s="18"/>
    </row>
    <row r="875" ht="15.75" customHeight="1">
      <c r="A875" s="18"/>
      <c r="B875" s="18"/>
      <c r="C875" s="18"/>
      <c r="D875" s="18"/>
      <c r="E875" s="18"/>
      <c r="F875" s="18"/>
    </row>
    <row r="876" ht="15.75" customHeight="1">
      <c r="A876" s="18"/>
      <c r="B876" s="18"/>
      <c r="C876" s="18"/>
      <c r="D876" s="18"/>
      <c r="E876" s="18"/>
      <c r="F876" s="18"/>
    </row>
    <row r="877" ht="15.75" customHeight="1">
      <c r="A877" s="18"/>
      <c r="B877" s="18"/>
      <c r="C877" s="18"/>
      <c r="D877" s="18"/>
      <c r="E877" s="18"/>
      <c r="F877" s="18"/>
    </row>
    <row r="878" ht="15.75" customHeight="1">
      <c r="A878" s="18"/>
      <c r="B878" s="18"/>
      <c r="C878" s="18"/>
      <c r="D878" s="18"/>
      <c r="E878" s="18"/>
      <c r="F878" s="18"/>
    </row>
    <row r="879" ht="15.75" customHeight="1">
      <c r="A879" s="18"/>
      <c r="B879" s="18"/>
      <c r="C879" s="18"/>
      <c r="D879" s="18"/>
      <c r="E879" s="18"/>
      <c r="F879" s="18"/>
    </row>
    <row r="880" ht="15.75" customHeight="1">
      <c r="A880" s="18"/>
      <c r="B880" s="18"/>
      <c r="C880" s="18"/>
      <c r="D880" s="18"/>
      <c r="E880" s="18"/>
      <c r="F880" s="18"/>
    </row>
    <row r="881" ht="15.75" customHeight="1">
      <c r="A881" s="18"/>
      <c r="B881" s="18"/>
      <c r="C881" s="18"/>
      <c r="D881" s="18"/>
      <c r="E881" s="18"/>
      <c r="F881" s="18"/>
    </row>
    <row r="882" ht="15.75" customHeight="1">
      <c r="A882" s="18"/>
      <c r="B882" s="18"/>
      <c r="C882" s="18"/>
      <c r="D882" s="18"/>
      <c r="E882" s="18"/>
      <c r="F882" s="18"/>
    </row>
    <row r="883" ht="15.75" customHeight="1">
      <c r="A883" s="18"/>
      <c r="B883" s="18"/>
      <c r="C883" s="18"/>
      <c r="D883" s="18"/>
      <c r="E883" s="18"/>
      <c r="F883" s="18"/>
    </row>
    <row r="884" ht="15.75" customHeight="1">
      <c r="A884" s="18"/>
      <c r="B884" s="18"/>
      <c r="C884" s="18"/>
      <c r="D884" s="18"/>
      <c r="E884" s="18"/>
      <c r="F884" s="18"/>
    </row>
    <row r="885" ht="15.75" customHeight="1">
      <c r="A885" s="18"/>
      <c r="B885" s="18"/>
      <c r="C885" s="18"/>
      <c r="D885" s="18"/>
      <c r="E885" s="18"/>
      <c r="F885" s="18"/>
    </row>
    <row r="886" ht="15.75" customHeight="1">
      <c r="A886" s="18"/>
      <c r="B886" s="18"/>
      <c r="C886" s="18"/>
      <c r="D886" s="18"/>
      <c r="E886" s="18"/>
      <c r="F886" s="18"/>
    </row>
    <row r="887" ht="15.75" customHeight="1">
      <c r="A887" s="18"/>
      <c r="B887" s="18"/>
      <c r="C887" s="18"/>
      <c r="D887" s="18"/>
      <c r="E887" s="18"/>
      <c r="F887" s="18"/>
    </row>
    <row r="888" ht="15.75" customHeight="1">
      <c r="A888" s="18"/>
      <c r="B888" s="18"/>
      <c r="C888" s="18"/>
      <c r="D888" s="18"/>
      <c r="E888" s="18"/>
      <c r="F888" s="18"/>
    </row>
    <row r="889" ht="15.75" customHeight="1">
      <c r="A889" s="18"/>
      <c r="B889" s="18"/>
      <c r="C889" s="18"/>
      <c r="D889" s="18"/>
      <c r="E889" s="18"/>
      <c r="F889" s="18"/>
    </row>
    <row r="890" ht="15.75" customHeight="1">
      <c r="A890" s="18"/>
      <c r="B890" s="18"/>
      <c r="C890" s="18"/>
      <c r="D890" s="18"/>
      <c r="E890" s="18"/>
      <c r="F890" s="18"/>
    </row>
    <row r="891" ht="15.75" customHeight="1">
      <c r="A891" s="18"/>
      <c r="B891" s="18"/>
      <c r="C891" s="18"/>
      <c r="D891" s="18"/>
      <c r="E891" s="18"/>
      <c r="F891" s="18"/>
    </row>
    <row r="892" ht="15.75" customHeight="1">
      <c r="A892" s="18"/>
      <c r="B892" s="18"/>
      <c r="C892" s="18"/>
      <c r="D892" s="18"/>
      <c r="E892" s="18"/>
      <c r="F892" s="18"/>
    </row>
    <row r="893" ht="15.75" customHeight="1">
      <c r="A893" s="18"/>
      <c r="B893" s="18"/>
      <c r="C893" s="18"/>
      <c r="D893" s="18"/>
      <c r="E893" s="18"/>
      <c r="F893" s="18"/>
    </row>
    <row r="894" ht="15.75" customHeight="1">
      <c r="A894" s="18"/>
      <c r="B894" s="18"/>
      <c r="C894" s="18"/>
      <c r="D894" s="18"/>
      <c r="E894" s="18"/>
      <c r="F894" s="18"/>
    </row>
    <row r="895" ht="15.75" customHeight="1">
      <c r="A895" s="18"/>
      <c r="B895" s="18"/>
      <c r="C895" s="18"/>
      <c r="D895" s="18"/>
      <c r="E895" s="18"/>
      <c r="F895" s="18"/>
    </row>
    <row r="896" ht="15.75" customHeight="1">
      <c r="A896" s="18"/>
      <c r="B896" s="18"/>
      <c r="C896" s="18"/>
      <c r="D896" s="18"/>
      <c r="E896" s="18"/>
      <c r="F896" s="18"/>
    </row>
    <row r="897" ht="15.75" customHeight="1">
      <c r="A897" s="18"/>
      <c r="B897" s="18"/>
      <c r="C897" s="18"/>
      <c r="D897" s="18"/>
      <c r="E897" s="18"/>
      <c r="F897" s="18"/>
    </row>
    <row r="898" ht="15.75" customHeight="1">
      <c r="A898" s="18"/>
      <c r="B898" s="18"/>
      <c r="C898" s="18"/>
      <c r="D898" s="18"/>
      <c r="E898" s="18"/>
      <c r="F898" s="18"/>
    </row>
    <row r="899" ht="15.75" customHeight="1">
      <c r="A899" s="18"/>
      <c r="B899" s="18"/>
      <c r="C899" s="18"/>
      <c r="D899" s="18"/>
      <c r="E899" s="18"/>
      <c r="F899" s="18"/>
    </row>
    <row r="900" ht="15.75" customHeight="1">
      <c r="A900" s="18"/>
      <c r="B900" s="18"/>
      <c r="C900" s="18"/>
      <c r="D900" s="18"/>
      <c r="E900" s="18"/>
      <c r="F900" s="18"/>
    </row>
    <row r="901" ht="15.75" customHeight="1">
      <c r="A901" s="18"/>
      <c r="B901" s="18"/>
      <c r="C901" s="18"/>
      <c r="D901" s="18"/>
      <c r="E901" s="18"/>
      <c r="F901" s="18"/>
    </row>
    <row r="902" ht="15.75" customHeight="1">
      <c r="A902" s="18"/>
      <c r="B902" s="18"/>
      <c r="C902" s="18"/>
      <c r="D902" s="18"/>
      <c r="E902" s="18"/>
      <c r="F902" s="18"/>
    </row>
    <row r="903" ht="15.75" customHeight="1">
      <c r="A903" s="18"/>
      <c r="B903" s="18"/>
      <c r="C903" s="18"/>
      <c r="D903" s="18"/>
      <c r="E903" s="18"/>
      <c r="F903" s="18"/>
    </row>
    <row r="904" ht="15.75" customHeight="1">
      <c r="A904" s="18"/>
      <c r="B904" s="18"/>
      <c r="C904" s="18"/>
      <c r="D904" s="18"/>
      <c r="E904" s="18"/>
      <c r="F904" s="18"/>
    </row>
    <row r="905" ht="15.75" customHeight="1">
      <c r="A905" s="18"/>
      <c r="B905" s="18"/>
      <c r="C905" s="18"/>
      <c r="D905" s="18"/>
      <c r="E905" s="18"/>
      <c r="F905" s="18"/>
    </row>
    <row r="906" ht="15.75" customHeight="1">
      <c r="A906" s="18"/>
      <c r="B906" s="18"/>
      <c r="C906" s="18"/>
      <c r="D906" s="18"/>
      <c r="E906" s="18"/>
      <c r="F906" s="18"/>
    </row>
    <row r="907" ht="15.75" customHeight="1">
      <c r="A907" s="18"/>
      <c r="B907" s="18"/>
      <c r="C907" s="18"/>
      <c r="D907" s="18"/>
      <c r="E907" s="18"/>
      <c r="F907" s="18"/>
    </row>
    <row r="908" ht="15.75" customHeight="1">
      <c r="A908" s="18"/>
      <c r="B908" s="18"/>
      <c r="C908" s="18"/>
      <c r="D908" s="18"/>
      <c r="E908" s="18"/>
      <c r="F908" s="18"/>
    </row>
    <row r="909" ht="15.75" customHeight="1">
      <c r="A909" s="18"/>
      <c r="B909" s="18"/>
      <c r="C909" s="18"/>
      <c r="D909" s="18"/>
      <c r="E909" s="18"/>
      <c r="F909" s="18"/>
    </row>
    <row r="910" ht="15.75" customHeight="1">
      <c r="A910" s="18"/>
      <c r="B910" s="18"/>
      <c r="C910" s="18"/>
      <c r="D910" s="18"/>
      <c r="E910" s="18"/>
      <c r="F910" s="18"/>
    </row>
    <row r="911" ht="15.75" customHeight="1">
      <c r="A911" s="18"/>
      <c r="B911" s="18"/>
      <c r="C911" s="18"/>
      <c r="D911" s="18"/>
      <c r="E911" s="18"/>
      <c r="F911" s="18"/>
    </row>
    <row r="912" ht="15.75" customHeight="1">
      <c r="A912" s="18"/>
      <c r="B912" s="18"/>
      <c r="C912" s="18"/>
      <c r="D912" s="18"/>
      <c r="E912" s="18"/>
      <c r="F912" s="18"/>
    </row>
    <row r="913" ht="15.75" customHeight="1">
      <c r="A913" s="18"/>
      <c r="B913" s="18"/>
      <c r="C913" s="18"/>
      <c r="D913" s="18"/>
      <c r="E913" s="18"/>
      <c r="F913" s="18"/>
    </row>
    <row r="914" ht="15.75" customHeight="1">
      <c r="A914" s="18"/>
      <c r="B914" s="18"/>
      <c r="C914" s="18"/>
      <c r="D914" s="18"/>
      <c r="E914" s="18"/>
      <c r="F914" s="18"/>
    </row>
    <row r="915" ht="15.75" customHeight="1">
      <c r="A915" s="18"/>
      <c r="B915" s="18"/>
      <c r="C915" s="18"/>
      <c r="D915" s="18"/>
      <c r="E915" s="18"/>
      <c r="F915" s="18"/>
    </row>
    <row r="916" ht="15.75" customHeight="1">
      <c r="A916" s="18"/>
      <c r="B916" s="18"/>
      <c r="C916" s="18"/>
      <c r="D916" s="18"/>
      <c r="E916" s="18"/>
      <c r="F916" s="18"/>
    </row>
    <row r="917" ht="15.75" customHeight="1">
      <c r="A917" s="18"/>
      <c r="B917" s="18"/>
      <c r="C917" s="18"/>
      <c r="D917" s="18"/>
      <c r="E917" s="18"/>
      <c r="F917" s="18"/>
    </row>
    <row r="918" ht="15.75" customHeight="1">
      <c r="A918" s="18"/>
      <c r="B918" s="18"/>
      <c r="C918" s="18"/>
      <c r="D918" s="18"/>
      <c r="E918" s="18"/>
      <c r="F918" s="18"/>
    </row>
    <row r="919" ht="15.75" customHeight="1">
      <c r="A919" s="18"/>
      <c r="B919" s="18"/>
      <c r="C919" s="18"/>
      <c r="D919" s="18"/>
      <c r="E919" s="18"/>
      <c r="F919" s="18"/>
    </row>
    <row r="920" ht="15.75" customHeight="1">
      <c r="A920" s="18"/>
      <c r="B920" s="18"/>
      <c r="C920" s="18"/>
      <c r="D920" s="18"/>
      <c r="E920" s="18"/>
      <c r="F920" s="18"/>
    </row>
    <row r="921" ht="15.75" customHeight="1">
      <c r="A921" s="18"/>
      <c r="B921" s="18"/>
      <c r="C921" s="18"/>
      <c r="D921" s="18"/>
      <c r="E921" s="18"/>
      <c r="F921" s="18"/>
    </row>
    <row r="922" ht="15.75" customHeight="1">
      <c r="A922" s="18"/>
      <c r="B922" s="18"/>
      <c r="C922" s="18"/>
      <c r="D922" s="18"/>
      <c r="E922" s="18"/>
      <c r="F922" s="18"/>
    </row>
    <row r="923" ht="15.75" customHeight="1">
      <c r="A923" s="18"/>
      <c r="B923" s="18"/>
      <c r="C923" s="18"/>
      <c r="D923" s="18"/>
      <c r="E923" s="18"/>
      <c r="F923" s="18"/>
    </row>
    <row r="924" ht="15.75" customHeight="1">
      <c r="A924" s="18"/>
      <c r="B924" s="18"/>
      <c r="C924" s="18"/>
      <c r="D924" s="18"/>
      <c r="E924" s="18"/>
      <c r="F924" s="18"/>
    </row>
    <row r="925" ht="15.75" customHeight="1">
      <c r="A925" s="18"/>
      <c r="B925" s="18"/>
      <c r="C925" s="18"/>
      <c r="D925" s="18"/>
      <c r="E925" s="18"/>
      <c r="F925" s="18"/>
    </row>
    <row r="926" ht="15.75" customHeight="1">
      <c r="A926" s="18"/>
      <c r="B926" s="18"/>
      <c r="C926" s="18"/>
      <c r="D926" s="18"/>
      <c r="E926" s="18"/>
      <c r="F926" s="18"/>
    </row>
    <row r="927" ht="15.75" customHeight="1">
      <c r="A927" s="18"/>
      <c r="B927" s="18"/>
      <c r="C927" s="18"/>
      <c r="D927" s="18"/>
      <c r="E927" s="18"/>
      <c r="F927" s="18"/>
    </row>
    <row r="928" ht="15.75" customHeight="1">
      <c r="A928" s="18"/>
      <c r="B928" s="18"/>
      <c r="C928" s="18"/>
      <c r="D928" s="18"/>
      <c r="E928" s="18"/>
      <c r="F928" s="18"/>
    </row>
    <row r="929" ht="15.75" customHeight="1">
      <c r="A929" s="18"/>
      <c r="B929" s="18"/>
      <c r="C929" s="18"/>
      <c r="D929" s="18"/>
      <c r="E929" s="18"/>
      <c r="F929" s="18"/>
    </row>
    <row r="930" ht="15.75" customHeight="1">
      <c r="A930" s="18"/>
      <c r="B930" s="18"/>
      <c r="C930" s="18"/>
      <c r="D930" s="18"/>
      <c r="E930" s="18"/>
      <c r="F930" s="18"/>
    </row>
    <row r="931" ht="15.75" customHeight="1">
      <c r="A931" s="18"/>
      <c r="B931" s="18"/>
      <c r="C931" s="18"/>
      <c r="D931" s="18"/>
      <c r="E931" s="18"/>
      <c r="F931" s="18"/>
    </row>
    <row r="932" ht="15.75" customHeight="1">
      <c r="A932" s="18"/>
      <c r="B932" s="18"/>
      <c r="C932" s="18"/>
      <c r="D932" s="18"/>
      <c r="E932" s="18"/>
      <c r="F932" s="18"/>
    </row>
    <row r="933" ht="15.75" customHeight="1">
      <c r="A933" s="18"/>
      <c r="B933" s="18"/>
      <c r="C933" s="18"/>
      <c r="D933" s="18"/>
      <c r="E933" s="18"/>
      <c r="F933" s="18"/>
    </row>
    <row r="934" ht="15.75" customHeight="1">
      <c r="A934" s="18"/>
      <c r="B934" s="18"/>
      <c r="C934" s="18"/>
      <c r="D934" s="18"/>
      <c r="E934" s="18"/>
      <c r="F934" s="18"/>
    </row>
    <row r="935" ht="15.75" customHeight="1">
      <c r="A935" s="18"/>
      <c r="B935" s="18"/>
      <c r="C935" s="18"/>
      <c r="D935" s="18"/>
      <c r="E935" s="18"/>
      <c r="F935" s="18"/>
    </row>
    <row r="936" ht="15.75" customHeight="1">
      <c r="A936" s="18"/>
      <c r="B936" s="18"/>
      <c r="C936" s="18"/>
      <c r="D936" s="18"/>
      <c r="E936" s="18"/>
      <c r="F936" s="18"/>
    </row>
    <row r="937" ht="15.75" customHeight="1">
      <c r="A937" s="18"/>
      <c r="B937" s="18"/>
      <c r="C937" s="18"/>
      <c r="D937" s="18"/>
      <c r="E937" s="18"/>
      <c r="F937" s="18"/>
    </row>
    <row r="938" ht="15.75" customHeight="1">
      <c r="A938" s="18"/>
      <c r="B938" s="18"/>
      <c r="C938" s="18"/>
      <c r="D938" s="18"/>
      <c r="E938" s="18"/>
      <c r="F938" s="18"/>
    </row>
    <row r="939" ht="15.75" customHeight="1">
      <c r="A939" s="18"/>
      <c r="B939" s="18"/>
      <c r="C939" s="18"/>
      <c r="D939" s="18"/>
      <c r="E939" s="18"/>
      <c r="F939" s="18"/>
    </row>
    <row r="940" ht="15.75" customHeight="1">
      <c r="A940" s="18"/>
      <c r="B940" s="18"/>
      <c r="C940" s="18"/>
      <c r="D940" s="18"/>
      <c r="E940" s="18"/>
      <c r="F940" s="18"/>
    </row>
    <row r="941" ht="15.75" customHeight="1">
      <c r="A941" s="18"/>
      <c r="B941" s="18"/>
      <c r="C941" s="18"/>
      <c r="D941" s="18"/>
      <c r="E941" s="18"/>
      <c r="F941" s="18"/>
    </row>
    <row r="942" ht="15.75" customHeight="1">
      <c r="A942" s="18"/>
      <c r="B942" s="18"/>
      <c r="C942" s="18"/>
      <c r="D942" s="18"/>
      <c r="E942" s="18"/>
      <c r="F942" s="18"/>
    </row>
    <row r="943" ht="15.75" customHeight="1">
      <c r="A943" s="18"/>
      <c r="B943" s="18"/>
      <c r="C943" s="18"/>
      <c r="D943" s="18"/>
      <c r="E943" s="18"/>
      <c r="F943" s="18"/>
    </row>
    <row r="944" ht="15.75" customHeight="1">
      <c r="A944" s="18"/>
      <c r="B944" s="18"/>
      <c r="C944" s="18"/>
      <c r="D944" s="18"/>
      <c r="E944" s="18"/>
      <c r="F944" s="18"/>
    </row>
    <row r="945" ht="15.75" customHeight="1">
      <c r="A945" s="18"/>
      <c r="B945" s="18"/>
      <c r="C945" s="18"/>
      <c r="D945" s="18"/>
      <c r="E945" s="18"/>
      <c r="F945" s="18"/>
    </row>
    <row r="946" ht="15.75" customHeight="1">
      <c r="A946" s="18"/>
      <c r="B946" s="18"/>
      <c r="C946" s="18"/>
      <c r="D946" s="18"/>
      <c r="E946" s="18"/>
      <c r="F946" s="18"/>
    </row>
    <row r="947" ht="15.75" customHeight="1">
      <c r="A947" s="18"/>
      <c r="B947" s="18"/>
      <c r="C947" s="18"/>
      <c r="D947" s="18"/>
      <c r="E947" s="18"/>
      <c r="F947" s="18"/>
    </row>
    <row r="948" ht="15.75" customHeight="1">
      <c r="A948" s="18"/>
      <c r="B948" s="18"/>
      <c r="C948" s="18"/>
      <c r="D948" s="18"/>
      <c r="E948" s="18"/>
      <c r="F948" s="18"/>
    </row>
    <row r="949" ht="15.75" customHeight="1">
      <c r="A949" s="18"/>
      <c r="B949" s="18"/>
      <c r="C949" s="18"/>
      <c r="D949" s="18"/>
      <c r="E949" s="18"/>
      <c r="F949" s="18"/>
    </row>
    <row r="950" ht="15.75" customHeight="1">
      <c r="A950" s="18"/>
      <c r="B950" s="18"/>
      <c r="C950" s="18"/>
      <c r="D950" s="18"/>
      <c r="E950" s="18"/>
      <c r="F950" s="18"/>
    </row>
    <row r="951" ht="15.75" customHeight="1">
      <c r="A951" s="18"/>
      <c r="B951" s="18"/>
      <c r="C951" s="18"/>
      <c r="D951" s="18"/>
      <c r="E951" s="18"/>
      <c r="F951" s="18"/>
    </row>
    <row r="952" ht="15.75" customHeight="1">
      <c r="A952" s="18"/>
      <c r="B952" s="18"/>
      <c r="C952" s="18"/>
      <c r="D952" s="18"/>
      <c r="E952" s="18"/>
      <c r="F952" s="18"/>
    </row>
    <row r="953" ht="15.75" customHeight="1">
      <c r="A953" s="18"/>
      <c r="B953" s="18"/>
      <c r="C953" s="18"/>
      <c r="D953" s="18"/>
      <c r="E953" s="18"/>
      <c r="F953" s="18"/>
    </row>
    <row r="954" ht="15.75" customHeight="1">
      <c r="A954" s="18"/>
      <c r="B954" s="18"/>
      <c r="C954" s="18"/>
      <c r="D954" s="18"/>
      <c r="E954" s="18"/>
      <c r="F954" s="18"/>
    </row>
    <row r="955" ht="15.75" customHeight="1">
      <c r="A955" s="18"/>
      <c r="B955" s="18"/>
      <c r="C955" s="18"/>
      <c r="D955" s="18"/>
      <c r="E955" s="18"/>
      <c r="F955" s="18"/>
    </row>
    <row r="956" ht="15.75" customHeight="1">
      <c r="A956" s="18"/>
      <c r="B956" s="18"/>
      <c r="C956" s="18"/>
      <c r="D956" s="18"/>
      <c r="E956" s="18"/>
      <c r="F956" s="18"/>
    </row>
    <row r="957" ht="15.75" customHeight="1">
      <c r="A957" s="18"/>
      <c r="B957" s="18"/>
      <c r="C957" s="18"/>
      <c r="D957" s="18"/>
      <c r="E957" s="18"/>
      <c r="F957" s="18"/>
    </row>
    <row r="958" ht="15.75" customHeight="1">
      <c r="A958" s="18"/>
      <c r="B958" s="18"/>
      <c r="C958" s="18"/>
      <c r="D958" s="18"/>
      <c r="E958" s="18"/>
      <c r="F958" s="18"/>
    </row>
    <row r="959" ht="15.75" customHeight="1">
      <c r="A959" s="18"/>
      <c r="B959" s="18"/>
      <c r="C959" s="18"/>
      <c r="D959" s="18"/>
      <c r="E959" s="18"/>
      <c r="F959" s="18"/>
    </row>
    <row r="960" ht="15.75" customHeight="1">
      <c r="A960" s="18"/>
      <c r="B960" s="18"/>
      <c r="C960" s="18"/>
      <c r="D960" s="18"/>
      <c r="E960" s="18"/>
      <c r="F960" s="18"/>
    </row>
    <row r="961" ht="15.75" customHeight="1">
      <c r="A961" s="18"/>
      <c r="B961" s="18"/>
      <c r="C961" s="18"/>
      <c r="D961" s="18"/>
      <c r="E961" s="18"/>
      <c r="F961" s="18"/>
    </row>
    <row r="962" ht="15.75" customHeight="1">
      <c r="A962" s="18"/>
      <c r="B962" s="18"/>
      <c r="C962" s="18"/>
      <c r="D962" s="18"/>
      <c r="E962" s="18"/>
      <c r="F962" s="18"/>
    </row>
    <row r="963" ht="15.75" customHeight="1">
      <c r="A963" s="18"/>
      <c r="B963" s="18"/>
      <c r="C963" s="18"/>
      <c r="D963" s="18"/>
      <c r="E963" s="18"/>
      <c r="F963" s="18"/>
    </row>
    <row r="964" ht="15.75" customHeight="1">
      <c r="A964" s="18"/>
      <c r="B964" s="18"/>
      <c r="C964" s="18"/>
      <c r="D964" s="18"/>
      <c r="E964" s="18"/>
      <c r="F964" s="18"/>
    </row>
    <row r="965" ht="15.75" customHeight="1">
      <c r="A965" s="18"/>
      <c r="B965" s="18"/>
      <c r="C965" s="18"/>
      <c r="D965" s="18"/>
      <c r="E965" s="18"/>
      <c r="F965" s="18"/>
    </row>
    <row r="966" ht="15.75" customHeight="1">
      <c r="A966" s="18"/>
      <c r="B966" s="18"/>
      <c r="C966" s="18"/>
      <c r="D966" s="18"/>
      <c r="E966" s="18"/>
      <c r="F966" s="18"/>
    </row>
    <row r="967" ht="15.75" customHeight="1">
      <c r="A967" s="18"/>
      <c r="B967" s="18"/>
      <c r="C967" s="18"/>
      <c r="D967" s="18"/>
      <c r="E967" s="18"/>
      <c r="F967" s="18"/>
    </row>
    <row r="968" ht="15.75" customHeight="1">
      <c r="A968" s="18"/>
      <c r="B968" s="18"/>
      <c r="C968" s="18"/>
      <c r="D968" s="18"/>
      <c r="E968" s="18"/>
      <c r="F968" s="18"/>
    </row>
    <row r="969" ht="15.75" customHeight="1">
      <c r="A969" s="18"/>
      <c r="B969" s="18"/>
      <c r="C969" s="18"/>
      <c r="D969" s="18"/>
      <c r="E969" s="18"/>
      <c r="F969" s="18"/>
    </row>
    <row r="970" ht="15.75" customHeight="1">
      <c r="A970" s="18"/>
      <c r="B970" s="18"/>
      <c r="C970" s="18"/>
      <c r="D970" s="18"/>
      <c r="E970" s="18"/>
      <c r="F970" s="18"/>
    </row>
    <row r="971" ht="15.75" customHeight="1">
      <c r="A971" s="18"/>
      <c r="B971" s="18"/>
      <c r="C971" s="18"/>
      <c r="D971" s="18"/>
      <c r="E971" s="18"/>
      <c r="F971" s="18"/>
    </row>
    <row r="972" ht="15.75" customHeight="1">
      <c r="A972" s="18"/>
      <c r="B972" s="18"/>
      <c r="C972" s="18"/>
      <c r="D972" s="18"/>
      <c r="E972" s="18"/>
      <c r="F972" s="18"/>
    </row>
    <row r="973" ht="15.75" customHeight="1">
      <c r="A973" s="18"/>
      <c r="B973" s="18"/>
      <c r="C973" s="18"/>
      <c r="D973" s="18"/>
      <c r="E973" s="18"/>
      <c r="F973" s="18"/>
    </row>
    <row r="974" ht="15.75" customHeight="1">
      <c r="A974" s="18"/>
      <c r="B974" s="18"/>
      <c r="C974" s="18"/>
      <c r="D974" s="18"/>
      <c r="E974" s="18"/>
      <c r="F974" s="18"/>
    </row>
    <row r="975" ht="15.75" customHeight="1">
      <c r="A975" s="18"/>
      <c r="B975" s="18"/>
      <c r="C975" s="18"/>
      <c r="D975" s="18"/>
      <c r="E975" s="18"/>
      <c r="F975" s="18"/>
    </row>
    <row r="976" ht="15.75" customHeight="1">
      <c r="A976" s="18"/>
      <c r="B976" s="18"/>
      <c r="C976" s="18"/>
      <c r="D976" s="18"/>
      <c r="E976" s="18"/>
      <c r="F976" s="18"/>
    </row>
    <row r="977" ht="15.75" customHeight="1">
      <c r="A977" s="18"/>
      <c r="B977" s="18"/>
      <c r="C977" s="18"/>
      <c r="D977" s="18"/>
      <c r="E977" s="18"/>
      <c r="F977" s="18"/>
    </row>
    <row r="978" ht="15.75" customHeight="1">
      <c r="A978" s="18"/>
      <c r="B978" s="18"/>
      <c r="C978" s="18"/>
      <c r="D978" s="18"/>
      <c r="E978" s="18"/>
      <c r="F978" s="18"/>
    </row>
    <row r="979" ht="15.75" customHeight="1">
      <c r="A979" s="18"/>
      <c r="B979" s="18"/>
      <c r="C979" s="18"/>
      <c r="D979" s="18"/>
      <c r="E979" s="18"/>
      <c r="F979" s="18"/>
    </row>
    <row r="980" ht="15.75" customHeight="1">
      <c r="A980" s="18"/>
      <c r="B980" s="18"/>
      <c r="C980" s="18"/>
      <c r="D980" s="18"/>
      <c r="E980" s="18"/>
      <c r="F980" s="18"/>
    </row>
    <row r="981" ht="15.75" customHeight="1">
      <c r="A981" s="18"/>
      <c r="B981" s="18"/>
      <c r="C981" s="18"/>
      <c r="D981" s="18"/>
      <c r="E981" s="18"/>
      <c r="F981" s="18"/>
    </row>
    <row r="982" ht="15.75" customHeight="1">
      <c r="A982" s="18"/>
      <c r="B982" s="18"/>
      <c r="C982" s="18"/>
      <c r="D982" s="18"/>
      <c r="E982" s="18"/>
      <c r="F982" s="18"/>
    </row>
    <row r="983" ht="15.75" customHeight="1">
      <c r="A983" s="18"/>
      <c r="B983" s="18"/>
      <c r="C983" s="18"/>
      <c r="D983" s="18"/>
      <c r="E983" s="18"/>
      <c r="F983" s="18"/>
    </row>
    <row r="984" ht="15.75" customHeight="1">
      <c r="A984" s="18"/>
      <c r="B984" s="18"/>
      <c r="C984" s="18"/>
      <c r="D984" s="18"/>
      <c r="E984" s="18"/>
      <c r="F984" s="18"/>
    </row>
    <row r="985" ht="15.75" customHeight="1">
      <c r="A985" s="18"/>
      <c r="B985" s="18"/>
      <c r="C985" s="18"/>
      <c r="D985" s="18"/>
      <c r="E985" s="18"/>
      <c r="F985" s="18"/>
    </row>
    <row r="986" ht="15.75" customHeight="1">
      <c r="A986" s="18"/>
      <c r="B986" s="18"/>
      <c r="C986" s="18"/>
      <c r="D986" s="18"/>
      <c r="E986" s="18"/>
      <c r="F986" s="18"/>
    </row>
    <row r="987" ht="15.75" customHeight="1">
      <c r="A987" s="18"/>
      <c r="B987" s="18"/>
      <c r="C987" s="18"/>
      <c r="D987" s="18"/>
      <c r="E987" s="18"/>
      <c r="F987" s="18"/>
    </row>
    <row r="988" ht="15.75" customHeight="1">
      <c r="A988" s="18"/>
      <c r="B988" s="18"/>
      <c r="C988" s="18"/>
      <c r="D988" s="18"/>
      <c r="E988" s="18"/>
      <c r="F988" s="18"/>
    </row>
    <row r="989" ht="15.75" customHeight="1">
      <c r="A989" s="18"/>
      <c r="B989" s="18"/>
      <c r="C989" s="18"/>
      <c r="D989" s="18"/>
      <c r="E989" s="18"/>
      <c r="F989" s="18"/>
    </row>
    <row r="990" ht="15.75" customHeight="1">
      <c r="A990" s="18"/>
      <c r="B990" s="18"/>
      <c r="C990" s="18"/>
      <c r="D990" s="18"/>
      <c r="E990" s="18"/>
      <c r="F990" s="18"/>
    </row>
    <row r="991" ht="15.75" customHeight="1">
      <c r="A991" s="18"/>
      <c r="B991" s="18"/>
      <c r="C991" s="18"/>
      <c r="D991" s="18"/>
      <c r="E991" s="18"/>
      <c r="F991" s="18"/>
    </row>
    <row r="992" ht="15.75" customHeight="1">
      <c r="A992" s="18"/>
      <c r="B992" s="18"/>
      <c r="C992" s="18"/>
      <c r="D992" s="18"/>
      <c r="E992" s="18"/>
      <c r="F992" s="18"/>
    </row>
    <row r="993" ht="15.75" customHeight="1">
      <c r="A993" s="18"/>
      <c r="B993" s="18"/>
      <c r="C993" s="18"/>
      <c r="D993" s="18"/>
      <c r="E993" s="18"/>
      <c r="F993" s="18"/>
    </row>
    <row r="994" ht="15.75" customHeight="1">
      <c r="A994" s="18"/>
      <c r="B994" s="18"/>
      <c r="C994" s="18"/>
      <c r="D994" s="18"/>
      <c r="E994" s="18"/>
      <c r="F994" s="18"/>
    </row>
    <row r="995" ht="15.75" customHeight="1">
      <c r="A995" s="18"/>
      <c r="B995" s="18"/>
      <c r="C995" s="18"/>
      <c r="D995" s="18"/>
      <c r="E995" s="18"/>
      <c r="F995" s="18"/>
    </row>
    <row r="996" ht="15.75" customHeight="1">
      <c r="A996" s="18"/>
      <c r="B996" s="18"/>
      <c r="C996" s="18"/>
      <c r="D996" s="18"/>
      <c r="E996" s="18"/>
      <c r="F996" s="18"/>
    </row>
    <row r="997" ht="15.75" customHeight="1">
      <c r="A997" s="18"/>
      <c r="B997" s="18"/>
      <c r="C997" s="18"/>
      <c r="D997" s="18"/>
      <c r="E997" s="18"/>
      <c r="F997" s="18"/>
    </row>
    <row r="998" ht="15.75" customHeight="1">
      <c r="A998" s="18"/>
      <c r="B998" s="18"/>
      <c r="C998" s="18"/>
      <c r="D998" s="18"/>
      <c r="E998" s="18"/>
      <c r="F998" s="18"/>
    </row>
    <row r="999" ht="15.75" customHeight="1">
      <c r="A999" s="18"/>
      <c r="B999" s="18"/>
      <c r="C999" s="18"/>
      <c r="D999" s="18"/>
      <c r="E999" s="18"/>
      <c r="F999" s="18"/>
    </row>
    <row r="1000" ht="15.75" customHeight="1">
      <c r="A1000" s="18"/>
      <c r="B1000" s="18"/>
      <c r="C1000" s="18"/>
      <c r="D1000" s="18"/>
      <c r="E1000" s="18"/>
      <c r="F1000" s="18"/>
    </row>
  </sheetData>
  <mergeCells count="7">
    <mergeCell ref="A1:D1"/>
    <mergeCell ref="A3:D3"/>
    <mergeCell ref="A4:C4"/>
    <mergeCell ref="A6:C6"/>
    <mergeCell ref="A8:C8"/>
    <mergeCell ref="A9:C9"/>
    <mergeCell ref="A10:C1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10.0"/>
    <col customWidth="1" min="3" max="3" width="25.0"/>
    <col customWidth="1" min="4" max="4" width="31.43"/>
    <col customWidth="1" min="5" max="6" width="11.0"/>
    <col customWidth="1" min="7" max="7" width="13.0"/>
    <col customWidth="1" min="8" max="8" width="11.0"/>
    <col customWidth="1" min="9" max="9" width="8.71"/>
  </cols>
  <sheetData>
    <row r="1" ht="30.0" customHeight="1">
      <c r="A1" s="44" t="s">
        <v>151</v>
      </c>
      <c r="B1" s="45"/>
      <c r="C1" s="45"/>
      <c r="D1" s="46"/>
      <c r="E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43.5" customHeight="1">
      <c r="A2" s="47" t="s">
        <v>152</v>
      </c>
      <c r="B2" s="47" t="s">
        <v>153</v>
      </c>
      <c r="C2" s="47" t="s">
        <v>1</v>
      </c>
      <c r="D2" s="47" t="s">
        <v>2</v>
      </c>
      <c r="E2" s="47" t="s">
        <v>4</v>
      </c>
      <c r="F2" s="48" t="s">
        <v>154</v>
      </c>
      <c r="G2" s="48" t="s">
        <v>155</v>
      </c>
      <c r="H2" s="48" t="s">
        <v>156</v>
      </c>
      <c r="I2" s="48" t="s">
        <v>157</v>
      </c>
      <c r="J2" s="48" t="s">
        <v>145</v>
      </c>
      <c r="K2" s="48" t="s">
        <v>158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5.0" customHeight="1">
      <c r="A3" s="49" t="s">
        <v>31</v>
      </c>
      <c r="B3" s="50" t="s">
        <v>34</v>
      </c>
      <c r="C3" s="49" t="s">
        <v>32</v>
      </c>
      <c r="D3" s="49" t="s">
        <v>33</v>
      </c>
      <c r="E3" s="51">
        <v>20.0</v>
      </c>
      <c r="F3" s="52">
        <v>17.39</v>
      </c>
      <c r="G3" s="52">
        <v>10.0</v>
      </c>
      <c r="H3" s="52">
        <v>3.0</v>
      </c>
      <c r="I3" s="53">
        <f t="shared" ref="I3:I61" si="1">E3*F3</f>
        <v>347.8</v>
      </c>
      <c r="J3" s="53">
        <f t="shared" ref="J3:J61" si="2">E3*(G3+H3)</f>
        <v>260</v>
      </c>
      <c r="K3" s="53">
        <f t="shared" ref="K3:K61" si="3">I3+J3</f>
        <v>607.8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15.0" customHeight="1">
      <c r="A4" s="54" t="s">
        <v>37</v>
      </c>
      <c r="B4" s="55" t="s">
        <v>34</v>
      </c>
      <c r="C4" s="54" t="s">
        <v>38</v>
      </c>
      <c r="D4" s="54" t="s">
        <v>33</v>
      </c>
      <c r="E4" s="51">
        <v>20.0</v>
      </c>
      <c r="F4" s="52">
        <v>17.39</v>
      </c>
      <c r="G4" s="52">
        <v>10.0</v>
      </c>
      <c r="H4" s="52">
        <v>3.0</v>
      </c>
      <c r="I4" s="53">
        <f t="shared" si="1"/>
        <v>347.8</v>
      </c>
      <c r="J4" s="53">
        <f t="shared" si="2"/>
        <v>260</v>
      </c>
      <c r="K4" s="53">
        <f t="shared" si="3"/>
        <v>607.8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15.0" customHeight="1">
      <c r="A5" s="49" t="s">
        <v>39</v>
      </c>
      <c r="B5" s="50" t="s">
        <v>34</v>
      </c>
      <c r="C5" s="49" t="s">
        <v>40</v>
      </c>
      <c r="D5" s="54" t="s">
        <v>33</v>
      </c>
      <c r="E5" s="51">
        <v>20.0</v>
      </c>
      <c r="F5" s="52">
        <v>17.39</v>
      </c>
      <c r="G5" s="52">
        <v>10.0</v>
      </c>
      <c r="H5" s="52">
        <v>3.0</v>
      </c>
      <c r="I5" s="53">
        <f t="shared" si="1"/>
        <v>347.8</v>
      </c>
      <c r="J5" s="53">
        <f t="shared" si="2"/>
        <v>260</v>
      </c>
      <c r="K5" s="53">
        <f t="shared" si="3"/>
        <v>607.8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15.0" customHeight="1">
      <c r="A6" s="54" t="s">
        <v>41</v>
      </c>
      <c r="B6" s="55" t="s">
        <v>34</v>
      </c>
      <c r="C6" s="54" t="s">
        <v>42</v>
      </c>
      <c r="D6" s="54" t="s">
        <v>33</v>
      </c>
      <c r="E6" s="51">
        <v>20.0</v>
      </c>
      <c r="F6" s="52">
        <v>17.39</v>
      </c>
      <c r="G6" s="52">
        <v>10.0</v>
      </c>
      <c r="H6" s="52">
        <v>3.0</v>
      </c>
      <c r="I6" s="53">
        <f t="shared" si="1"/>
        <v>347.8</v>
      </c>
      <c r="J6" s="53">
        <f t="shared" si="2"/>
        <v>260</v>
      </c>
      <c r="K6" s="53">
        <f t="shared" si="3"/>
        <v>607.8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15.0" customHeight="1">
      <c r="A7" s="49" t="s">
        <v>43</v>
      </c>
      <c r="B7" s="50" t="s">
        <v>34</v>
      </c>
      <c r="C7" s="49" t="s">
        <v>44</v>
      </c>
      <c r="D7" s="54" t="s">
        <v>33</v>
      </c>
      <c r="E7" s="51">
        <v>20.0</v>
      </c>
      <c r="F7" s="52">
        <v>17.39</v>
      </c>
      <c r="G7" s="52">
        <v>10.0</v>
      </c>
      <c r="H7" s="52">
        <v>3.0</v>
      </c>
      <c r="I7" s="53">
        <f t="shared" si="1"/>
        <v>347.8</v>
      </c>
      <c r="J7" s="53">
        <f t="shared" si="2"/>
        <v>260</v>
      </c>
      <c r="K7" s="53">
        <f t="shared" si="3"/>
        <v>607.8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15.0" customHeight="1">
      <c r="A8" s="54" t="s">
        <v>45</v>
      </c>
      <c r="B8" s="55" t="s">
        <v>34</v>
      </c>
      <c r="C8" s="54" t="s">
        <v>46</v>
      </c>
      <c r="D8" s="54" t="s">
        <v>33</v>
      </c>
      <c r="E8" s="51">
        <v>20.0</v>
      </c>
      <c r="F8" s="52">
        <v>17.39</v>
      </c>
      <c r="G8" s="52">
        <v>10.0</v>
      </c>
      <c r="H8" s="52">
        <v>3.0</v>
      </c>
      <c r="I8" s="53">
        <f t="shared" si="1"/>
        <v>347.8</v>
      </c>
      <c r="J8" s="53">
        <f t="shared" si="2"/>
        <v>260</v>
      </c>
      <c r="K8" s="53">
        <f t="shared" si="3"/>
        <v>607.8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5.0" customHeight="1">
      <c r="A9" s="49" t="s">
        <v>47</v>
      </c>
      <c r="B9" s="50" t="s">
        <v>34</v>
      </c>
      <c r="C9" s="49" t="s">
        <v>48</v>
      </c>
      <c r="D9" s="54" t="s">
        <v>33</v>
      </c>
      <c r="E9" s="51">
        <v>20.0</v>
      </c>
      <c r="F9" s="52">
        <v>17.39</v>
      </c>
      <c r="G9" s="52">
        <v>10.0</v>
      </c>
      <c r="H9" s="52">
        <v>3.0</v>
      </c>
      <c r="I9" s="53">
        <f t="shared" si="1"/>
        <v>347.8</v>
      </c>
      <c r="J9" s="53">
        <f t="shared" si="2"/>
        <v>260</v>
      </c>
      <c r="K9" s="53">
        <f t="shared" si="3"/>
        <v>607.8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15.0" customHeight="1">
      <c r="A10" s="54" t="s">
        <v>49</v>
      </c>
      <c r="B10" s="55" t="s">
        <v>34</v>
      </c>
      <c r="C10" s="54" t="s">
        <v>50</v>
      </c>
      <c r="D10" s="54" t="s">
        <v>33</v>
      </c>
      <c r="E10" s="51">
        <v>20.0</v>
      </c>
      <c r="F10" s="52">
        <v>17.39</v>
      </c>
      <c r="G10" s="52">
        <v>10.0</v>
      </c>
      <c r="H10" s="52">
        <v>3.0</v>
      </c>
      <c r="I10" s="53">
        <f t="shared" si="1"/>
        <v>347.8</v>
      </c>
      <c r="J10" s="53">
        <f t="shared" si="2"/>
        <v>260</v>
      </c>
      <c r="K10" s="53">
        <f t="shared" si="3"/>
        <v>607.8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15.0" customHeight="1">
      <c r="A11" s="49" t="s">
        <v>51</v>
      </c>
      <c r="B11" s="50" t="s">
        <v>34</v>
      </c>
      <c r="C11" s="49" t="s">
        <v>52</v>
      </c>
      <c r="D11" s="54" t="s">
        <v>33</v>
      </c>
      <c r="E11" s="51">
        <v>20.0</v>
      </c>
      <c r="F11" s="52">
        <v>17.39</v>
      </c>
      <c r="G11" s="52">
        <v>10.0</v>
      </c>
      <c r="H11" s="52">
        <v>3.0</v>
      </c>
      <c r="I11" s="53">
        <f t="shared" si="1"/>
        <v>347.8</v>
      </c>
      <c r="J11" s="53">
        <f t="shared" si="2"/>
        <v>260</v>
      </c>
      <c r="K11" s="53">
        <f t="shared" si="3"/>
        <v>607.8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15.0" customHeight="1">
      <c r="A12" s="54" t="s">
        <v>53</v>
      </c>
      <c r="B12" s="55" t="s">
        <v>34</v>
      </c>
      <c r="C12" s="54" t="s">
        <v>54</v>
      </c>
      <c r="D12" s="54" t="s">
        <v>33</v>
      </c>
      <c r="E12" s="51">
        <v>20.0</v>
      </c>
      <c r="F12" s="52">
        <v>17.39</v>
      </c>
      <c r="G12" s="52">
        <v>10.0</v>
      </c>
      <c r="H12" s="52">
        <v>3.0</v>
      </c>
      <c r="I12" s="53">
        <f t="shared" si="1"/>
        <v>347.8</v>
      </c>
      <c r="J12" s="53">
        <f t="shared" si="2"/>
        <v>260</v>
      </c>
      <c r="K12" s="53">
        <f t="shared" si="3"/>
        <v>607.8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15.0" customHeight="1">
      <c r="A13" s="49" t="s">
        <v>55</v>
      </c>
      <c r="B13" s="50" t="s">
        <v>34</v>
      </c>
      <c r="C13" s="49" t="s">
        <v>32</v>
      </c>
      <c r="D13" s="49" t="s">
        <v>56</v>
      </c>
      <c r="E13" s="51">
        <v>50.0</v>
      </c>
      <c r="F13" s="52">
        <v>19.97</v>
      </c>
      <c r="G13" s="52">
        <v>10.0</v>
      </c>
      <c r="H13" s="52">
        <v>3.0</v>
      </c>
      <c r="I13" s="53">
        <f t="shared" si="1"/>
        <v>998.5</v>
      </c>
      <c r="J13" s="53">
        <f t="shared" si="2"/>
        <v>650</v>
      </c>
      <c r="K13" s="53">
        <f t="shared" si="3"/>
        <v>1648.5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15.0" customHeight="1">
      <c r="A14" s="54" t="s">
        <v>57</v>
      </c>
      <c r="B14" s="55" t="s">
        <v>34</v>
      </c>
      <c r="C14" s="54" t="s">
        <v>44</v>
      </c>
      <c r="D14" s="49" t="s">
        <v>56</v>
      </c>
      <c r="E14" s="51">
        <v>50.0</v>
      </c>
      <c r="F14" s="52">
        <v>19.97</v>
      </c>
      <c r="G14" s="52">
        <v>10.0</v>
      </c>
      <c r="H14" s="52">
        <v>3.0</v>
      </c>
      <c r="I14" s="53">
        <f t="shared" si="1"/>
        <v>998.5</v>
      </c>
      <c r="J14" s="53">
        <f t="shared" si="2"/>
        <v>650</v>
      </c>
      <c r="K14" s="53">
        <f t="shared" si="3"/>
        <v>1648.5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15.0" customHeight="1">
      <c r="A15" s="49" t="s">
        <v>58</v>
      </c>
      <c r="B15" s="50" t="s">
        <v>34</v>
      </c>
      <c r="C15" s="49" t="s">
        <v>59</v>
      </c>
      <c r="D15" s="49" t="s">
        <v>56</v>
      </c>
      <c r="E15" s="51">
        <v>50.0</v>
      </c>
      <c r="F15" s="52">
        <v>19.97</v>
      </c>
      <c r="G15" s="52">
        <v>10.0</v>
      </c>
      <c r="H15" s="52">
        <v>3.0</v>
      </c>
      <c r="I15" s="53">
        <f t="shared" si="1"/>
        <v>998.5</v>
      </c>
      <c r="J15" s="53">
        <f t="shared" si="2"/>
        <v>650</v>
      </c>
      <c r="K15" s="53">
        <f t="shared" si="3"/>
        <v>1648.5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15.0" customHeight="1">
      <c r="A16" s="54" t="s">
        <v>60</v>
      </c>
      <c r="B16" s="55" t="s">
        <v>34</v>
      </c>
      <c r="C16" s="54" t="s">
        <v>54</v>
      </c>
      <c r="D16" s="49" t="s">
        <v>56</v>
      </c>
      <c r="E16" s="51">
        <v>50.0</v>
      </c>
      <c r="F16" s="52">
        <v>19.97</v>
      </c>
      <c r="G16" s="52">
        <v>10.0</v>
      </c>
      <c r="H16" s="52">
        <v>3.0</v>
      </c>
      <c r="I16" s="53">
        <f t="shared" si="1"/>
        <v>998.5</v>
      </c>
      <c r="J16" s="53">
        <f t="shared" si="2"/>
        <v>650</v>
      </c>
      <c r="K16" s="53">
        <f t="shared" si="3"/>
        <v>1648.5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5.0" customHeight="1">
      <c r="A17" s="49" t="s">
        <v>61</v>
      </c>
      <c r="B17" s="50" t="s">
        <v>34</v>
      </c>
      <c r="C17" s="49" t="s">
        <v>62</v>
      </c>
      <c r="D17" s="49" t="s">
        <v>56</v>
      </c>
      <c r="E17" s="51">
        <v>50.0</v>
      </c>
      <c r="F17" s="52">
        <v>19.97</v>
      </c>
      <c r="G17" s="52">
        <v>10.0</v>
      </c>
      <c r="H17" s="52">
        <v>3.0</v>
      </c>
      <c r="I17" s="53">
        <f t="shared" si="1"/>
        <v>998.5</v>
      </c>
      <c r="J17" s="53">
        <f t="shared" si="2"/>
        <v>650</v>
      </c>
      <c r="K17" s="53">
        <f t="shared" si="3"/>
        <v>1648.5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5.0" customHeight="1">
      <c r="A18" s="54" t="s">
        <v>63</v>
      </c>
      <c r="B18" s="55" t="s">
        <v>34</v>
      </c>
      <c r="C18" s="54" t="s">
        <v>64</v>
      </c>
      <c r="D18" s="49" t="s">
        <v>56</v>
      </c>
      <c r="E18" s="51">
        <v>50.0</v>
      </c>
      <c r="F18" s="52">
        <v>19.97</v>
      </c>
      <c r="G18" s="52">
        <v>10.0</v>
      </c>
      <c r="H18" s="52">
        <v>3.0</v>
      </c>
      <c r="I18" s="53">
        <f t="shared" si="1"/>
        <v>998.5</v>
      </c>
      <c r="J18" s="53">
        <f t="shared" si="2"/>
        <v>650</v>
      </c>
      <c r="K18" s="53">
        <f t="shared" si="3"/>
        <v>1648.5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15.0" customHeight="1">
      <c r="A19" s="49" t="s">
        <v>65</v>
      </c>
      <c r="B19" s="50" t="s">
        <v>34</v>
      </c>
      <c r="C19" s="49" t="s">
        <v>32</v>
      </c>
      <c r="D19" s="49" t="s">
        <v>66</v>
      </c>
      <c r="E19" s="51">
        <v>20.0</v>
      </c>
      <c r="F19" s="52">
        <v>29.08</v>
      </c>
      <c r="G19" s="52">
        <v>10.0</v>
      </c>
      <c r="H19" s="52">
        <v>3.0</v>
      </c>
      <c r="I19" s="53">
        <f t="shared" si="1"/>
        <v>581.6</v>
      </c>
      <c r="J19" s="53">
        <f t="shared" si="2"/>
        <v>260</v>
      </c>
      <c r="K19" s="53">
        <f t="shared" si="3"/>
        <v>841.6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5.0" customHeight="1">
      <c r="A20" s="49" t="s">
        <v>67</v>
      </c>
      <c r="B20" s="55" t="s">
        <v>34</v>
      </c>
      <c r="C20" s="54" t="s">
        <v>44</v>
      </c>
      <c r="D20" s="49" t="s">
        <v>66</v>
      </c>
      <c r="E20" s="51">
        <v>20.0</v>
      </c>
      <c r="F20" s="52">
        <v>29.08</v>
      </c>
      <c r="G20" s="52">
        <v>10.0</v>
      </c>
      <c r="H20" s="52">
        <v>3.0</v>
      </c>
      <c r="I20" s="53">
        <f t="shared" si="1"/>
        <v>581.6</v>
      </c>
      <c r="J20" s="53">
        <f t="shared" si="2"/>
        <v>260</v>
      </c>
      <c r="K20" s="53">
        <f t="shared" si="3"/>
        <v>841.6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5.0" customHeight="1">
      <c r="A21" s="49" t="s">
        <v>68</v>
      </c>
      <c r="B21" s="50" t="s">
        <v>34</v>
      </c>
      <c r="C21" s="49" t="s">
        <v>40</v>
      </c>
      <c r="D21" s="49" t="s">
        <v>66</v>
      </c>
      <c r="E21" s="51">
        <v>20.0</v>
      </c>
      <c r="F21" s="52">
        <v>29.08</v>
      </c>
      <c r="G21" s="52">
        <v>10.0</v>
      </c>
      <c r="H21" s="52">
        <v>3.0</v>
      </c>
      <c r="I21" s="53">
        <f t="shared" si="1"/>
        <v>581.6</v>
      </c>
      <c r="J21" s="53">
        <f t="shared" si="2"/>
        <v>260</v>
      </c>
      <c r="K21" s="53">
        <f t="shared" si="3"/>
        <v>841.6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5.0" customHeight="1">
      <c r="A22" s="49" t="s">
        <v>69</v>
      </c>
      <c r="B22" s="55" t="s">
        <v>34</v>
      </c>
      <c r="C22" s="54" t="s">
        <v>38</v>
      </c>
      <c r="D22" s="49" t="s">
        <v>66</v>
      </c>
      <c r="E22" s="51">
        <v>20.0</v>
      </c>
      <c r="F22" s="52">
        <v>29.08</v>
      </c>
      <c r="G22" s="52">
        <v>10.0</v>
      </c>
      <c r="H22" s="52">
        <v>3.0</v>
      </c>
      <c r="I22" s="53">
        <f t="shared" si="1"/>
        <v>581.6</v>
      </c>
      <c r="J22" s="53">
        <f t="shared" si="2"/>
        <v>260</v>
      </c>
      <c r="K22" s="53">
        <f t="shared" si="3"/>
        <v>841.6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5.0" customHeight="1">
      <c r="A23" s="49" t="s">
        <v>70</v>
      </c>
      <c r="B23" s="50" t="s">
        <v>34</v>
      </c>
      <c r="C23" s="49" t="s">
        <v>42</v>
      </c>
      <c r="D23" s="49" t="s">
        <v>66</v>
      </c>
      <c r="E23" s="51">
        <v>20.0</v>
      </c>
      <c r="F23" s="52">
        <v>29.08</v>
      </c>
      <c r="G23" s="52">
        <v>10.0</v>
      </c>
      <c r="H23" s="52">
        <v>3.0</v>
      </c>
      <c r="I23" s="53">
        <f t="shared" si="1"/>
        <v>581.6</v>
      </c>
      <c r="J23" s="53">
        <f t="shared" si="2"/>
        <v>260</v>
      </c>
      <c r="K23" s="53">
        <f t="shared" si="3"/>
        <v>841.6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5.0" customHeight="1">
      <c r="A24" s="49" t="s">
        <v>71</v>
      </c>
      <c r="B24" s="55" t="s">
        <v>34</v>
      </c>
      <c r="C24" s="54" t="s">
        <v>48</v>
      </c>
      <c r="D24" s="49" t="s">
        <v>66</v>
      </c>
      <c r="E24" s="51">
        <v>20.0</v>
      </c>
      <c r="F24" s="52">
        <v>29.08</v>
      </c>
      <c r="G24" s="52">
        <v>10.0</v>
      </c>
      <c r="H24" s="52">
        <v>3.0</v>
      </c>
      <c r="I24" s="53">
        <f t="shared" si="1"/>
        <v>581.6</v>
      </c>
      <c r="J24" s="53">
        <f t="shared" si="2"/>
        <v>260</v>
      </c>
      <c r="K24" s="53">
        <f t="shared" si="3"/>
        <v>841.6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15.0" customHeight="1">
      <c r="A25" s="49" t="s">
        <v>72</v>
      </c>
      <c r="B25" s="50" t="s">
        <v>34</v>
      </c>
      <c r="C25" s="49" t="s">
        <v>46</v>
      </c>
      <c r="D25" s="49" t="s">
        <v>66</v>
      </c>
      <c r="E25" s="51">
        <v>20.0</v>
      </c>
      <c r="F25" s="52">
        <v>29.08</v>
      </c>
      <c r="G25" s="52">
        <v>10.0</v>
      </c>
      <c r="H25" s="52">
        <v>3.0</v>
      </c>
      <c r="I25" s="53">
        <f t="shared" si="1"/>
        <v>581.6</v>
      </c>
      <c r="J25" s="53">
        <f t="shared" si="2"/>
        <v>260</v>
      </c>
      <c r="K25" s="53">
        <f t="shared" si="3"/>
        <v>841.6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5.0" customHeight="1">
      <c r="A26" s="49" t="s">
        <v>73</v>
      </c>
      <c r="B26" s="55" t="s">
        <v>34</v>
      </c>
      <c r="C26" s="54" t="s">
        <v>50</v>
      </c>
      <c r="D26" s="49" t="s">
        <v>66</v>
      </c>
      <c r="E26" s="51">
        <v>20.0</v>
      </c>
      <c r="F26" s="52">
        <v>29.08</v>
      </c>
      <c r="G26" s="52">
        <v>10.0</v>
      </c>
      <c r="H26" s="52">
        <v>3.0</v>
      </c>
      <c r="I26" s="53">
        <f t="shared" si="1"/>
        <v>581.6</v>
      </c>
      <c r="J26" s="53">
        <f t="shared" si="2"/>
        <v>260</v>
      </c>
      <c r="K26" s="53">
        <f t="shared" si="3"/>
        <v>841.6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5.0" customHeight="1">
      <c r="A27" s="49" t="s">
        <v>74</v>
      </c>
      <c r="B27" s="50" t="s">
        <v>34</v>
      </c>
      <c r="C27" s="49" t="s">
        <v>52</v>
      </c>
      <c r="D27" s="49" t="s">
        <v>66</v>
      </c>
      <c r="E27" s="51">
        <v>20.0</v>
      </c>
      <c r="F27" s="52">
        <v>29.08</v>
      </c>
      <c r="G27" s="52">
        <v>10.0</v>
      </c>
      <c r="H27" s="52">
        <v>3.0</v>
      </c>
      <c r="I27" s="53">
        <f t="shared" si="1"/>
        <v>581.6</v>
      </c>
      <c r="J27" s="53">
        <f t="shared" si="2"/>
        <v>260</v>
      </c>
      <c r="K27" s="53">
        <f t="shared" si="3"/>
        <v>841.6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5.0" customHeight="1">
      <c r="A28" s="49" t="s">
        <v>75</v>
      </c>
      <c r="B28" s="55" t="s">
        <v>34</v>
      </c>
      <c r="C28" s="54" t="s">
        <v>54</v>
      </c>
      <c r="D28" s="49" t="s">
        <v>66</v>
      </c>
      <c r="E28" s="51">
        <v>20.0</v>
      </c>
      <c r="F28" s="52">
        <v>29.08</v>
      </c>
      <c r="G28" s="52">
        <v>10.0</v>
      </c>
      <c r="H28" s="52">
        <v>3.0</v>
      </c>
      <c r="I28" s="53">
        <f t="shared" si="1"/>
        <v>581.6</v>
      </c>
      <c r="J28" s="53">
        <f t="shared" si="2"/>
        <v>260</v>
      </c>
      <c r="K28" s="53">
        <f t="shared" si="3"/>
        <v>841.6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5.0" customHeight="1">
      <c r="A29" s="49" t="s">
        <v>76</v>
      </c>
      <c r="B29" s="50" t="s">
        <v>78</v>
      </c>
      <c r="C29" s="49" t="s">
        <v>32</v>
      </c>
      <c r="D29" s="49" t="s">
        <v>77</v>
      </c>
      <c r="E29" s="51">
        <v>4.0</v>
      </c>
      <c r="F29" s="52">
        <v>12.45</v>
      </c>
      <c r="G29" s="52">
        <v>10.0</v>
      </c>
      <c r="H29" s="52">
        <v>3.0</v>
      </c>
      <c r="I29" s="53">
        <f t="shared" si="1"/>
        <v>49.8</v>
      </c>
      <c r="J29" s="53">
        <f t="shared" si="2"/>
        <v>52</v>
      </c>
      <c r="K29" s="53">
        <f t="shared" si="3"/>
        <v>101.8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5.0" customHeight="1">
      <c r="A30" s="54" t="s">
        <v>79</v>
      </c>
      <c r="B30" s="50" t="s">
        <v>78</v>
      </c>
      <c r="C30" s="49" t="s">
        <v>32</v>
      </c>
      <c r="D30" s="49" t="s">
        <v>77</v>
      </c>
      <c r="E30" s="51">
        <v>4.0</v>
      </c>
      <c r="F30" s="52">
        <v>12.45</v>
      </c>
      <c r="G30" s="52">
        <v>10.0</v>
      </c>
      <c r="H30" s="52">
        <v>3.0</v>
      </c>
      <c r="I30" s="53">
        <f t="shared" si="1"/>
        <v>49.8</v>
      </c>
      <c r="J30" s="53">
        <f t="shared" si="2"/>
        <v>52</v>
      </c>
      <c r="K30" s="53">
        <f t="shared" si="3"/>
        <v>101.8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5.0" customHeight="1">
      <c r="A31" s="49" t="s">
        <v>80</v>
      </c>
      <c r="B31" s="50" t="s">
        <v>78</v>
      </c>
      <c r="C31" s="49" t="s">
        <v>38</v>
      </c>
      <c r="D31" s="49" t="s">
        <v>77</v>
      </c>
      <c r="E31" s="51">
        <v>4.0</v>
      </c>
      <c r="F31" s="52">
        <v>12.45</v>
      </c>
      <c r="G31" s="52">
        <v>10.0</v>
      </c>
      <c r="H31" s="52">
        <v>3.0</v>
      </c>
      <c r="I31" s="53">
        <f t="shared" si="1"/>
        <v>49.8</v>
      </c>
      <c r="J31" s="53">
        <f t="shared" si="2"/>
        <v>52</v>
      </c>
      <c r="K31" s="53">
        <f t="shared" si="3"/>
        <v>101.8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5.0" customHeight="1">
      <c r="A32" s="54" t="s">
        <v>81</v>
      </c>
      <c r="B32" s="50" t="s">
        <v>78</v>
      </c>
      <c r="C32" s="54" t="s">
        <v>40</v>
      </c>
      <c r="D32" s="49" t="s">
        <v>77</v>
      </c>
      <c r="E32" s="51">
        <v>4.0</v>
      </c>
      <c r="F32" s="52">
        <v>12.45</v>
      </c>
      <c r="G32" s="52">
        <v>10.0</v>
      </c>
      <c r="H32" s="52">
        <v>3.0</v>
      </c>
      <c r="I32" s="53">
        <f t="shared" si="1"/>
        <v>49.8</v>
      </c>
      <c r="J32" s="53">
        <f t="shared" si="2"/>
        <v>52</v>
      </c>
      <c r="K32" s="53">
        <f t="shared" si="3"/>
        <v>101.8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5.0" customHeight="1">
      <c r="A33" s="49" t="s">
        <v>82</v>
      </c>
      <c r="B33" s="50" t="s">
        <v>78</v>
      </c>
      <c r="C33" s="49" t="s">
        <v>46</v>
      </c>
      <c r="D33" s="49" t="s">
        <v>77</v>
      </c>
      <c r="E33" s="51">
        <v>4.0</v>
      </c>
      <c r="F33" s="52">
        <v>12.45</v>
      </c>
      <c r="G33" s="52">
        <v>10.0</v>
      </c>
      <c r="H33" s="52">
        <v>3.0</v>
      </c>
      <c r="I33" s="53">
        <f t="shared" si="1"/>
        <v>49.8</v>
      </c>
      <c r="J33" s="53">
        <f t="shared" si="2"/>
        <v>52</v>
      </c>
      <c r="K33" s="53">
        <f t="shared" si="3"/>
        <v>101.8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5.0" customHeight="1">
      <c r="A34" s="54" t="s">
        <v>83</v>
      </c>
      <c r="B34" s="50" t="s">
        <v>78</v>
      </c>
      <c r="C34" s="54" t="s">
        <v>84</v>
      </c>
      <c r="D34" s="49" t="s">
        <v>77</v>
      </c>
      <c r="E34" s="51">
        <v>4.0</v>
      </c>
      <c r="F34" s="52">
        <v>12.45</v>
      </c>
      <c r="G34" s="52">
        <v>10.0</v>
      </c>
      <c r="H34" s="52">
        <v>3.0</v>
      </c>
      <c r="I34" s="53">
        <f t="shared" si="1"/>
        <v>49.8</v>
      </c>
      <c r="J34" s="53">
        <f t="shared" si="2"/>
        <v>52</v>
      </c>
      <c r="K34" s="53">
        <f t="shared" si="3"/>
        <v>101.8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5.0" customHeight="1">
      <c r="A35" s="49" t="s">
        <v>85</v>
      </c>
      <c r="B35" s="50" t="s">
        <v>78</v>
      </c>
      <c r="C35" s="49" t="s">
        <v>86</v>
      </c>
      <c r="D35" s="49" t="s">
        <v>77</v>
      </c>
      <c r="E35" s="51">
        <v>4.0</v>
      </c>
      <c r="F35" s="52">
        <v>12.45</v>
      </c>
      <c r="G35" s="52">
        <v>10.0</v>
      </c>
      <c r="H35" s="52">
        <v>3.0</v>
      </c>
      <c r="I35" s="53">
        <f t="shared" si="1"/>
        <v>49.8</v>
      </c>
      <c r="J35" s="53">
        <f t="shared" si="2"/>
        <v>52</v>
      </c>
      <c r="K35" s="53">
        <f t="shared" si="3"/>
        <v>101.8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5.0" customHeight="1">
      <c r="A36" s="54" t="s">
        <v>87</v>
      </c>
      <c r="B36" s="50" t="s">
        <v>78</v>
      </c>
      <c r="C36" s="54" t="s">
        <v>54</v>
      </c>
      <c r="D36" s="49" t="s">
        <v>77</v>
      </c>
      <c r="E36" s="51">
        <v>4.0</v>
      </c>
      <c r="F36" s="52">
        <v>12.45</v>
      </c>
      <c r="G36" s="52">
        <v>10.0</v>
      </c>
      <c r="H36" s="52">
        <v>3.0</v>
      </c>
      <c r="I36" s="53">
        <f t="shared" si="1"/>
        <v>49.8</v>
      </c>
      <c r="J36" s="53">
        <f t="shared" si="2"/>
        <v>52</v>
      </c>
      <c r="K36" s="53">
        <f t="shared" si="3"/>
        <v>101.8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5.0" customHeight="1">
      <c r="A37" s="49" t="s">
        <v>88</v>
      </c>
      <c r="B37" s="50" t="s">
        <v>78</v>
      </c>
      <c r="C37" s="49" t="s">
        <v>89</v>
      </c>
      <c r="D37" s="49" t="s">
        <v>77</v>
      </c>
      <c r="E37" s="51">
        <v>4.0</v>
      </c>
      <c r="F37" s="52">
        <v>12.45</v>
      </c>
      <c r="G37" s="52">
        <v>10.0</v>
      </c>
      <c r="H37" s="52">
        <v>3.0</v>
      </c>
      <c r="I37" s="53">
        <f t="shared" si="1"/>
        <v>49.8</v>
      </c>
      <c r="J37" s="53">
        <f t="shared" si="2"/>
        <v>52</v>
      </c>
      <c r="K37" s="53">
        <f t="shared" si="3"/>
        <v>101.8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5.0" customHeight="1">
      <c r="A38" s="54" t="s">
        <v>90</v>
      </c>
      <c r="B38" s="50" t="s">
        <v>78</v>
      </c>
      <c r="C38" s="54" t="s">
        <v>32</v>
      </c>
      <c r="D38" s="54" t="s">
        <v>159</v>
      </c>
      <c r="E38" s="56">
        <v>12.0</v>
      </c>
      <c r="F38" s="57">
        <v>29.45</v>
      </c>
      <c r="G38" s="52">
        <v>10.0</v>
      </c>
      <c r="H38" s="52">
        <v>3.0</v>
      </c>
      <c r="I38" s="53">
        <f t="shared" si="1"/>
        <v>353.4</v>
      </c>
      <c r="J38" s="53">
        <f t="shared" si="2"/>
        <v>156</v>
      </c>
      <c r="K38" s="53">
        <f t="shared" si="3"/>
        <v>509.4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5.0" customHeight="1">
      <c r="A39" s="49" t="s">
        <v>92</v>
      </c>
      <c r="B39" s="50" t="s">
        <v>78</v>
      </c>
      <c r="C39" s="49" t="s">
        <v>44</v>
      </c>
      <c r="D39" s="54" t="s">
        <v>159</v>
      </c>
      <c r="E39" s="56">
        <v>12.0</v>
      </c>
      <c r="F39" s="57">
        <v>29.45</v>
      </c>
      <c r="G39" s="52">
        <v>10.0</v>
      </c>
      <c r="H39" s="52">
        <v>3.0</v>
      </c>
      <c r="I39" s="53">
        <f t="shared" si="1"/>
        <v>353.4</v>
      </c>
      <c r="J39" s="53">
        <f t="shared" si="2"/>
        <v>156</v>
      </c>
      <c r="K39" s="53">
        <f t="shared" si="3"/>
        <v>509.4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5.0" customHeight="1">
      <c r="A40" s="54" t="s">
        <v>93</v>
      </c>
      <c r="B40" s="50" t="s">
        <v>78</v>
      </c>
      <c r="C40" s="54" t="s">
        <v>38</v>
      </c>
      <c r="D40" s="54" t="s">
        <v>159</v>
      </c>
      <c r="E40" s="56">
        <v>12.0</v>
      </c>
      <c r="F40" s="57">
        <v>29.45</v>
      </c>
      <c r="G40" s="52">
        <v>10.0</v>
      </c>
      <c r="H40" s="52">
        <v>3.0</v>
      </c>
      <c r="I40" s="53">
        <f t="shared" si="1"/>
        <v>353.4</v>
      </c>
      <c r="J40" s="53">
        <f t="shared" si="2"/>
        <v>156</v>
      </c>
      <c r="K40" s="53">
        <f t="shared" si="3"/>
        <v>509.4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5.0" customHeight="1">
      <c r="A41" s="49" t="s">
        <v>94</v>
      </c>
      <c r="B41" s="50" t="s">
        <v>78</v>
      </c>
      <c r="C41" s="49" t="s">
        <v>40</v>
      </c>
      <c r="D41" s="54" t="s">
        <v>159</v>
      </c>
      <c r="E41" s="56">
        <v>12.0</v>
      </c>
      <c r="F41" s="57">
        <v>29.45</v>
      </c>
      <c r="G41" s="52">
        <v>10.0</v>
      </c>
      <c r="H41" s="52">
        <v>3.0</v>
      </c>
      <c r="I41" s="53">
        <f t="shared" si="1"/>
        <v>353.4</v>
      </c>
      <c r="J41" s="53">
        <f t="shared" si="2"/>
        <v>156</v>
      </c>
      <c r="K41" s="53">
        <f t="shared" si="3"/>
        <v>509.4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5.0" customHeight="1">
      <c r="A42" s="54" t="s">
        <v>95</v>
      </c>
      <c r="B42" s="50" t="s">
        <v>78</v>
      </c>
      <c r="C42" s="54" t="s">
        <v>42</v>
      </c>
      <c r="D42" s="54" t="s">
        <v>159</v>
      </c>
      <c r="E42" s="56">
        <v>12.0</v>
      </c>
      <c r="F42" s="57">
        <v>29.45</v>
      </c>
      <c r="G42" s="52">
        <v>10.0</v>
      </c>
      <c r="H42" s="52">
        <v>3.0</v>
      </c>
      <c r="I42" s="53">
        <f t="shared" si="1"/>
        <v>353.4</v>
      </c>
      <c r="J42" s="53">
        <f t="shared" si="2"/>
        <v>156</v>
      </c>
      <c r="K42" s="53">
        <f t="shared" si="3"/>
        <v>509.4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5.0" customHeight="1">
      <c r="A43" s="49" t="s">
        <v>96</v>
      </c>
      <c r="B43" s="50" t="s">
        <v>78</v>
      </c>
      <c r="C43" s="49" t="s">
        <v>89</v>
      </c>
      <c r="D43" s="54" t="s">
        <v>159</v>
      </c>
      <c r="E43" s="56">
        <v>12.0</v>
      </c>
      <c r="F43" s="57">
        <v>29.45</v>
      </c>
      <c r="G43" s="52">
        <v>10.0</v>
      </c>
      <c r="H43" s="52">
        <v>3.0</v>
      </c>
      <c r="I43" s="53">
        <f t="shared" si="1"/>
        <v>353.4</v>
      </c>
      <c r="J43" s="53">
        <f t="shared" si="2"/>
        <v>156</v>
      </c>
      <c r="K43" s="53">
        <f t="shared" si="3"/>
        <v>509.4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5.0" customHeight="1">
      <c r="A44" s="54" t="s">
        <v>97</v>
      </c>
      <c r="B44" s="50" t="s">
        <v>78</v>
      </c>
      <c r="C44" s="54" t="s">
        <v>46</v>
      </c>
      <c r="D44" s="54" t="s">
        <v>159</v>
      </c>
      <c r="E44" s="56">
        <v>12.0</v>
      </c>
      <c r="F44" s="57">
        <v>29.45</v>
      </c>
      <c r="G44" s="52">
        <v>10.0</v>
      </c>
      <c r="H44" s="52">
        <v>3.0</v>
      </c>
      <c r="I44" s="53">
        <f t="shared" si="1"/>
        <v>353.4</v>
      </c>
      <c r="J44" s="53">
        <f t="shared" si="2"/>
        <v>156</v>
      </c>
      <c r="K44" s="53">
        <f t="shared" si="3"/>
        <v>509.4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5.0" customHeight="1">
      <c r="A45" s="49" t="s">
        <v>98</v>
      </c>
      <c r="B45" s="50" t="s">
        <v>78</v>
      </c>
      <c r="C45" s="49" t="s">
        <v>99</v>
      </c>
      <c r="D45" s="54" t="s">
        <v>159</v>
      </c>
      <c r="E45" s="56">
        <v>12.0</v>
      </c>
      <c r="F45" s="57">
        <v>29.45</v>
      </c>
      <c r="G45" s="52">
        <v>10.0</v>
      </c>
      <c r="H45" s="52">
        <v>3.0</v>
      </c>
      <c r="I45" s="53">
        <f t="shared" si="1"/>
        <v>353.4</v>
      </c>
      <c r="J45" s="53">
        <f t="shared" si="2"/>
        <v>156</v>
      </c>
      <c r="K45" s="53">
        <f t="shared" si="3"/>
        <v>509.4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5.0" customHeight="1">
      <c r="A46" s="54" t="s">
        <v>100</v>
      </c>
      <c r="B46" s="50" t="s">
        <v>78</v>
      </c>
      <c r="C46" s="54" t="s">
        <v>48</v>
      </c>
      <c r="D46" s="54" t="s">
        <v>159</v>
      </c>
      <c r="E46" s="56">
        <v>12.0</v>
      </c>
      <c r="F46" s="57">
        <v>29.45</v>
      </c>
      <c r="G46" s="52">
        <v>10.0</v>
      </c>
      <c r="H46" s="52">
        <v>3.0</v>
      </c>
      <c r="I46" s="53">
        <f t="shared" si="1"/>
        <v>353.4</v>
      </c>
      <c r="J46" s="53">
        <f t="shared" si="2"/>
        <v>156</v>
      </c>
      <c r="K46" s="53">
        <f t="shared" si="3"/>
        <v>509.4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5.0" customHeight="1">
      <c r="A47" s="49" t="s">
        <v>101</v>
      </c>
      <c r="B47" s="50" t="s">
        <v>78</v>
      </c>
      <c r="C47" s="49" t="s">
        <v>54</v>
      </c>
      <c r="D47" s="54" t="s">
        <v>159</v>
      </c>
      <c r="E47" s="56">
        <v>12.0</v>
      </c>
      <c r="F47" s="57">
        <v>29.45</v>
      </c>
      <c r="G47" s="52">
        <v>10.0</v>
      </c>
      <c r="H47" s="52">
        <v>3.0</v>
      </c>
      <c r="I47" s="53">
        <f t="shared" si="1"/>
        <v>353.4</v>
      </c>
      <c r="J47" s="53">
        <f t="shared" si="2"/>
        <v>156</v>
      </c>
      <c r="K47" s="53">
        <f t="shared" si="3"/>
        <v>509.4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5.0" customHeight="1">
      <c r="A48" s="54" t="s">
        <v>102</v>
      </c>
      <c r="B48" s="50" t="s">
        <v>78</v>
      </c>
      <c r="C48" s="54" t="s">
        <v>50</v>
      </c>
      <c r="D48" s="54" t="s">
        <v>159</v>
      </c>
      <c r="E48" s="56">
        <v>12.0</v>
      </c>
      <c r="F48" s="57">
        <v>29.45</v>
      </c>
      <c r="G48" s="52">
        <v>10.0</v>
      </c>
      <c r="H48" s="52">
        <v>3.0</v>
      </c>
      <c r="I48" s="53">
        <f t="shared" si="1"/>
        <v>353.4</v>
      </c>
      <c r="J48" s="53">
        <f t="shared" si="2"/>
        <v>156</v>
      </c>
      <c r="K48" s="53">
        <f t="shared" si="3"/>
        <v>509.4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15.0" customHeight="1">
      <c r="A49" s="49" t="s">
        <v>103</v>
      </c>
      <c r="B49" s="50" t="s">
        <v>78</v>
      </c>
      <c r="C49" s="49" t="s">
        <v>52</v>
      </c>
      <c r="D49" s="54" t="s">
        <v>159</v>
      </c>
      <c r="E49" s="56">
        <v>12.0</v>
      </c>
      <c r="F49" s="57">
        <v>29.45</v>
      </c>
      <c r="G49" s="52">
        <v>10.0</v>
      </c>
      <c r="H49" s="52">
        <v>3.0</v>
      </c>
      <c r="I49" s="53">
        <f t="shared" si="1"/>
        <v>353.4</v>
      </c>
      <c r="J49" s="53">
        <f t="shared" si="2"/>
        <v>156</v>
      </c>
      <c r="K49" s="53">
        <f t="shared" si="3"/>
        <v>509.4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5.0" customHeight="1">
      <c r="A50" s="54" t="s">
        <v>104</v>
      </c>
      <c r="B50" s="50" t="s">
        <v>78</v>
      </c>
      <c r="C50" s="54" t="s">
        <v>105</v>
      </c>
      <c r="D50" s="54" t="s">
        <v>106</v>
      </c>
      <c r="E50" s="56">
        <v>4.0</v>
      </c>
      <c r="F50" s="57">
        <v>8.22</v>
      </c>
      <c r="G50" s="52">
        <v>10.0</v>
      </c>
      <c r="H50" s="52">
        <v>3.0</v>
      </c>
      <c r="I50" s="53">
        <f t="shared" si="1"/>
        <v>32.88</v>
      </c>
      <c r="J50" s="53">
        <f t="shared" si="2"/>
        <v>52</v>
      </c>
      <c r="K50" s="53">
        <f t="shared" si="3"/>
        <v>84.88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5.0" customHeight="1">
      <c r="A51" s="49" t="s">
        <v>107</v>
      </c>
      <c r="B51" s="50" t="s">
        <v>78</v>
      </c>
      <c r="C51" s="49" t="s">
        <v>108</v>
      </c>
      <c r="D51" s="49" t="s">
        <v>106</v>
      </c>
      <c r="E51" s="56">
        <v>4.0</v>
      </c>
      <c r="F51" s="57">
        <v>8.22</v>
      </c>
      <c r="G51" s="52">
        <v>10.0</v>
      </c>
      <c r="H51" s="52">
        <v>3.0</v>
      </c>
      <c r="I51" s="53">
        <f t="shared" si="1"/>
        <v>32.88</v>
      </c>
      <c r="J51" s="53">
        <f t="shared" si="2"/>
        <v>52</v>
      </c>
      <c r="K51" s="53">
        <f t="shared" si="3"/>
        <v>84.88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15.0" customHeight="1">
      <c r="A52" s="54" t="s">
        <v>109</v>
      </c>
      <c r="B52" s="50" t="s">
        <v>78</v>
      </c>
      <c r="C52" s="54" t="s">
        <v>32</v>
      </c>
      <c r="D52" s="54" t="s">
        <v>106</v>
      </c>
      <c r="E52" s="56">
        <v>4.0</v>
      </c>
      <c r="F52" s="57">
        <v>8.22</v>
      </c>
      <c r="G52" s="52">
        <v>10.0</v>
      </c>
      <c r="H52" s="52">
        <v>3.0</v>
      </c>
      <c r="I52" s="53">
        <f t="shared" si="1"/>
        <v>32.88</v>
      </c>
      <c r="J52" s="53">
        <f t="shared" si="2"/>
        <v>52</v>
      </c>
      <c r="K52" s="53">
        <f t="shared" si="3"/>
        <v>84.88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0" customHeight="1">
      <c r="A53" s="49" t="s">
        <v>110</v>
      </c>
      <c r="B53" s="50" t="s">
        <v>78</v>
      </c>
      <c r="C53" s="49" t="s">
        <v>111</v>
      </c>
      <c r="D53" s="49" t="s">
        <v>106</v>
      </c>
      <c r="E53" s="56">
        <v>4.0</v>
      </c>
      <c r="F53" s="57">
        <v>8.22</v>
      </c>
      <c r="G53" s="52">
        <v>10.0</v>
      </c>
      <c r="H53" s="52">
        <v>3.0</v>
      </c>
      <c r="I53" s="53">
        <f t="shared" si="1"/>
        <v>32.88</v>
      </c>
      <c r="J53" s="53">
        <f t="shared" si="2"/>
        <v>52</v>
      </c>
      <c r="K53" s="53">
        <f t="shared" si="3"/>
        <v>84.88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15.0" customHeight="1">
      <c r="A54" s="54" t="s">
        <v>112</v>
      </c>
      <c r="B54" s="50" t="s">
        <v>78</v>
      </c>
      <c r="C54" s="54" t="s">
        <v>113</v>
      </c>
      <c r="D54" s="54" t="s">
        <v>106</v>
      </c>
      <c r="E54" s="56">
        <v>4.0</v>
      </c>
      <c r="F54" s="57">
        <v>8.22</v>
      </c>
      <c r="G54" s="52">
        <v>10.0</v>
      </c>
      <c r="H54" s="52">
        <v>3.0</v>
      </c>
      <c r="I54" s="53">
        <f t="shared" si="1"/>
        <v>32.88</v>
      </c>
      <c r="J54" s="53">
        <f t="shared" si="2"/>
        <v>52</v>
      </c>
      <c r="K54" s="53">
        <f t="shared" si="3"/>
        <v>84.88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0" customHeight="1">
      <c r="A55" s="49" t="s">
        <v>114</v>
      </c>
      <c r="B55" s="50" t="s">
        <v>78</v>
      </c>
      <c r="C55" s="49" t="s">
        <v>115</v>
      </c>
      <c r="D55" s="49" t="s">
        <v>106</v>
      </c>
      <c r="E55" s="56">
        <v>4.0</v>
      </c>
      <c r="F55" s="57">
        <v>8.22</v>
      </c>
      <c r="G55" s="52">
        <v>10.0</v>
      </c>
      <c r="H55" s="52">
        <v>3.0</v>
      </c>
      <c r="I55" s="53">
        <f t="shared" si="1"/>
        <v>32.88</v>
      </c>
      <c r="J55" s="53">
        <f t="shared" si="2"/>
        <v>52</v>
      </c>
      <c r="K55" s="53">
        <f t="shared" si="3"/>
        <v>84.88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0" customHeight="1">
      <c r="A56" s="54" t="s">
        <v>116</v>
      </c>
      <c r="B56" s="50" t="s">
        <v>78</v>
      </c>
      <c r="C56" s="54" t="s">
        <v>117</v>
      </c>
      <c r="D56" s="54" t="s">
        <v>106</v>
      </c>
      <c r="E56" s="56">
        <v>4.0</v>
      </c>
      <c r="F56" s="57">
        <v>8.22</v>
      </c>
      <c r="G56" s="52">
        <v>10.0</v>
      </c>
      <c r="H56" s="52">
        <v>3.0</v>
      </c>
      <c r="I56" s="53">
        <f t="shared" si="1"/>
        <v>32.88</v>
      </c>
      <c r="J56" s="53">
        <f t="shared" si="2"/>
        <v>52</v>
      </c>
      <c r="K56" s="53">
        <f t="shared" si="3"/>
        <v>84.88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15.0" customHeight="1">
      <c r="A57" s="49" t="s">
        <v>119</v>
      </c>
      <c r="B57" s="50" t="s">
        <v>78</v>
      </c>
      <c r="C57" s="49" t="s">
        <v>120</v>
      </c>
      <c r="D57" s="49" t="s">
        <v>106</v>
      </c>
      <c r="E57" s="56">
        <v>4.0</v>
      </c>
      <c r="F57" s="57">
        <v>8.22</v>
      </c>
      <c r="G57" s="52">
        <v>10.0</v>
      </c>
      <c r="H57" s="52">
        <v>3.0</v>
      </c>
      <c r="I57" s="53">
        <f t="shared" si="1"/>
        <v>32.88</v>
      </c>
      <c r="J57" s="53">
        <f t="shared" si="2"/>
        <v>52</v>
      </c>
      <c r="K57" s="53">
        <f t="shared" si="3"/>
        <v>84.88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0" customHeight="1">
      <c r="A58" s="54" t="s">
        <v>121</v>
      </c>
      <c r="B58" s="50" t="s">
        <v>78</v>
      </c>
      <c r="C58" s="54" t="s">
        <v>122</v>
      </c>
      <c r="D58" s="54" t="s">
        <v>106</v>
      </c>
      <c r="E58" s="56">
        <v>4.0</v>
      </c>
      <c r="F58" s="57">
        <v>8.22</v>
      </c>
      <c r="G58" s="52">
        <v>10.0</v>
      </c>
      <c r="H58" s="52">
        <v>3.0</v>
      </c>
      <c r="I58" s="53">
        <f t="shared" si="1"/>
        <v>32.88</v>
      </c>
      <c r="J58" s="53">
        <f t="shared" si="2"/>
        <v>52</v>
      </c>
      <c r="K58" s="53">
        <f t="shared" si="3"/>
        <v>84.88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0" customHeight="1">
      <c r="A59" s="49" t="s">
        <v>123</v>
      </c>
      <c r="B59" s="50" t="s">
        <v>78</v>
      </c>
      <c r="C59" s="49" t="s">
        <v>124</v>
      </c>
      <c r="D59" s="49" t="s">
        <v>106</v>
      </c>
      <c r="E59" s="56">
        <v>4.0</v>
      </c>
      <c r="F59" s="57">
        <v>8.22</v>
      </c>
      <c r="G59" s="52">
        <v>10.0</v>
      </c>
      <c r="H59" s="52">
        <v>3.0</v>
      </c>
      <c r="I59" s="53">
        <f t="shared" si="1"/>
        <v>32.88</v>
      </c>
      <c r="J59" s="53">
        <f t="shared" si="2"/>
        <v>52</v>
      </c>
      <c r="K59" s="53">
        <f t="shared" si="3"/>
        <v>84.88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0" customHeight="1">
      <c r="A60" s="54" t="s">
        <v>125</v>
      </c>
      <c r="B60" s="50" t="s">
        <v>78</v>
      </c>
      <c r="C60" s="54" t="s">
        <v>126</v>
      </c>
      <c r="D60" s="54" t="s">
        <v>106</v>
      </c>
      <c r="E60" s="56">
        <v>4.0</v>
      </c>
      <c r="F60" s="57">
        <v>8.22</v>
      </c>
      <c r="G60" s="52">
        <v>10.0</v>
      </c>
      <c r="H60" s="52">
        <v>3.0</v>
      </c>
      <c r="I60" s="53">
        <f t="shared" si="1"/>
        <v>32.88</v>
      </c>
      <c r="J60" s="53">
        <f t="shared" si="2"/>
        <v>52</v>
      </c>
      <c r="K60" s="53">
        <f t="shared" si="3"/>
        <v>84.88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0" customHeight="1">
      <c r="A61" s="49" t="s">
        <v>127</v>
      </c>
      <c r="B61" s="50" t="s">
        <v>78</v>
      </c>
      <c r="C61" s="49" t="s">
        <v>128</v>
      </c>
      <c r="D61" s="49" t="s">
        <v>106</v>
      </c>
      <c r="E61" s="56">
        <v>4.0</v>
      </c>
      <c r="F61" s="57">
        <v>8.22</v>
      </c>
      <c r="G61" s="52">
        <v>10.0</v>
      </c>
      <c r="H61" s="52">
        <v>3.0</v>
      </c>
      <c r="I61" s="53">
        <f t="shared" si="1"/>
        <v>32.88</v>
      </c>
      <c r="J61" s="53">
        <f t="shared" si="2"/>
        <v>52</v>
      </c>
      <c r="K61" s="53">
        <f t="shared" si="3"/>
        <v>84.88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75" customHeight="1">
      <c r="A62" s="17"/>
      <c r="B62" s="17"/>
      <c r="C62" s="17"/>
      <c r="D62" s="17"/>
      <c r="E62" s="17"/>
      <c r="F62" s="17"/>
      <c r="G62" s="58"/>
      <c r="H62" s="58"/>
      <c r="I62" s="58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</row>
  </sheetData>
  <mergeCells count="2">
    <mergeCell ref="A1:D1"/>
    <mergeCell ref="E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0.0"/>
    <col customWidth="1" min="4" max="4" width="16.0"/>
    <col customWidth="1" min="5" max="8" width="12.0"/>
    <col customWidth="1" min="9" max="10" width="10.0"/>
    <col customWidth="1" min="11" max="11" width="12.0"/>
  </cols>
  <sheetData>
    <row r="1" ht="30.0" customHeight="1">
      <c r="A1" s="44" t="s">
        <v>160</v>
      </c>
      <c r="B1" s="46"/>
      <c r="C1" s="59" t="s">
        <v>161</v>
      </c>
      <c r="D1" s="45"/>
      <c r="E1" s="45"/>
      <c r="F1" s="45"/>
      <c r="G1" s="45"/>
      <c r="H1" s="45"/>
      <c r="I1" s="45"/>
      <c r="J1" s="46"/>
      <c r="K1" s="60" t="s">
        <v>162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ht="43.5" customHeight="1">
      <c r="A2" s="47" t="s">
        <v>0</v>
      </c>
      <c r="B2" s="47" t="s">
        <v>163</v>
      </c>
      <c r="C2" s="61" t="s">
        <v>164</v>
      </c>
      <c r="D2" s="61" t="s">
        <v>165</v>
      </c>
      <c r="E2" s="61" t="s">
        <v>166</v>
      </c>
      <c r="F2" s="61" t="s">
        <v>167</v>
      </c>
      <c r="G2" s="61" t="s">
        <v>168</v>
      </c>
      <c r="H2" s="61" t="s">
        <v>169</v>
      </c>
      <c r="I2" s="61" t="s">
        <v>170</v>
      </c>
      <c r="J2" s="61" t="s">
        <v>171</v>
      </c>
      <c r="K2" s="62" t="s">
        <v>172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15.0" customHeight="1">
      <c r="A3" s="49" t="s">
        <v>31</v>
      </c>
      <c r="B3" s="63" t="str">
        <f t="array" ref="B3">IFERROR(xlookup(A3,Cards!A$3:A$61,Cards!C$3:C$61,""),"")</f>
        <v>Monkey.D.Luffy</v>
      </c>
      <c r="C3" s="51">
        <v>1367.0</v>
      </c>
      <c r="D3" s="64" t="str">
        <f t="shared" ref="D3:D61" si="1">IFERROR(IF(C3="","",IF(C3&gt;=50,"Yes","Low Pop - Caution")),"")</f>
        <v>Yes</v>
      </c>
      <c r="E3" s="65">
        <v>665.0</v>
      </c>
      <c r="F3" s="65">
        <v>467.0</v>
      </c>
      <c r="G3" s="65">
        <v>157.0</v>
      </c>
      <c r="H3" s="66">
        <f t="shared" ref="H3:H61" si="2">E3/C3</f>
        <v>0.4864667154</v>
      </c>
      <c r="I3" s="66">
        <f t="shared" ref="I3:I61" si="3">F3/C3</f>
        <v>0.3416239941</v>
      </c>
      <c r="J3" s="66">
        <f t="shared" ref="J3:J61" si="4">G3/C3</f>
        <v>0.1148500366</v>
      </c>
      <c r="K3" s="67">
        <f t="shared" ref="K3:K61" si="5">IFERROR(IF(H3&lt;&gt;"",MAX(0,1-H3-I3-J3),""),"")</f>
        <v>0.05705925384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15.0" customHeight="1">
      <c r="A4" s="54" t="s">
        <v>37</v>
      </c>
      <c r="B4" s="63" t="str">
        <f t="array" ref="B4">IFERROR(xlookup(A4,Cards!A$3:A$61,Cards!C$3:C$61,""),"")</f>
        <v>Roronoa Zoro</v>
      </c>
      <c r="C4" s="56">
        <v>1135.0</v>
      </c>
      <c r="D4" s="64" t="str">
        <f t="shared" si="1"/>
        <v>Yes</v>
      </c>
      <c r="E4" s="68">
        <v>462.0</v>
      </c>
      <c r="F4" s="68">
        <v>491.0</v>
      </c>
      <c r="G4" s="68">
        <v>142.0</v>
      </c>
      <c r="H4" s="66">
        <f t="shared" si="2"/>
        <v>0.4070484581</v>
      </c>
      <c r="I4" s="66">
        <f t="shared" si="3"/>
        <v>0.4325991189</v>
      </c>
      <c r="J4" s="66">
        <f t="shared" si="4"/>
        <v>0.1251101322</v>
      </c>
      <c r="K4" s="67">
        <f t="shared" si="5"/>
        <v>0.03524229075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15.0" customHeight="1">
      <c r="A5" s="49" t="s">
        <v>39</v>
      </c>
      <c r="B5" s="63" t="str">
        <f t="array" ref="B5">IFERROR(xlookup(A5,Cards!A$3:A$61,Cards!C$3:C$61,""),"")</f>
        <v>Nami</v>
      </c>
      <c r="C5" s="51">
        <v>1249.0</v>
      </c>
      <c r="D5" s="64" t="str">
        <f t="shared" si="1"/>
        <v>Yes</v>
      </c>
      <c r="E5" s="65">
        <v>732.0</v>
      </c>
      <c r="F5" s="65">
        <v>358.0</v>
      </c>
      <c r="G5" s="65">
        <v>113.0</v>
      </c>
      <c r="H5" s="66">
        <f t="shared" si="2"/>
        <v>0.5860688551</v>
      </c>
      <c r="I5" s="66">
        <f t="shared" si="3"/>
        <v>0.2866293034</v>
      </c>
      <c r="J5" s="66">
        <f t="shared" si="4"/>
        <v>0.0904723779</v>
      </c>
      <c r="K5" s="67">
        <f t="shared" si="5"/>
        <v>0.03682946357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0" customHeight="1">
      <c r="A6" s="54" t="s">
        <v>41</v>
      </c>
      <c r="B6" s="63" t="str">
        <f t="array" ref="B6">IFERROR(xlookup(A6,Cards!A$3:A$61,Cards!C$3:C$61,""),"")</f>
        <v>Nico Robin</v>
      </c>
      <c r="C6" s="56">
        <v>1105.0</v>
      </c>
      <c r="D6" s="64" t="str">
        <f t="shared" si="1"/>
        <v>Yes</v>
      </c>
      <c r="E6" s="68">
        <v>673.0</v>
      </c>
      <c r="F6" s="68">
        <v>300.0</v>
      </c>
      <c r="G6" s="68">
        <v>97.0</v>
      </c>
      <c r="H6" s="66">
        <f t="shared" si="2"/>
        <v>0.6090497738</v>
      </c>
      <c r="I6" s="66">
        <f t="shared" si="3"/>
        <v>0.2714932127</v>
      </c>
      <c r="J6" s="66">
        <f t="shared" si="4"/>
        <v>0.08778280543</v>
      </c>
      <c r="K6" s="67">
        <f t="shared" si="5"/>
        <v>0.03167420814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0" customHeight="1">
      <c r="A7" s="49" t="s">
        <v>43</v>
      </c>
      <c r="B7" s="63" t="str">
        <f t="array" ref="B7">IFERROR(xlookup(A7,Cards!A$3:A$61,Cards!C$3:C$61,""),"")</f>
        <v>Tony Tony Chopper</v>
      </c>
      <c r="C7" s="51">
        <v>1089.0</v>
      </c>
      <c r="D7" s="64" t="str">
        <f t="shared" si="1"/>
        <v>Yes</v>
      </c>
      <c r="E7" s="65">
        <v>630.0</v>
      </c>
      <c r="F7" s="65">
        <v>280.0</v>
      </c>
      <c r="G7" s="65">
        <v>105.0</v>
      </c>
      <c r="H7" s="66">
        <f t="shared" si="2"/>
        <v>0.5785123967</v>
      </c>
      <c r="I7" s="66">
        <f t="shared" si="3"/>
        <v>0.2571166208</v>
      </c>
      <c r="J7" s="66">
        <f t="shared" si="4"/>
        <v>0.09641873278</v>
      </c>
      <c r="K7" s="67">
        <f t="shared" si="5"/>
        <v>0.06795224977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15.0" customHeight="1">
      <c r="A8" s="54" t="s">
        <v>45</v>
      </c>
      <c r="B8" s="63" t="str">
        <f t="array" ref="B8">IFERROR(xlookup(A8,Cards!A$3:A$61,Cards!C$3:C$61,""),"")</f>
        <v>Sanji</v>
      </c>
      <c r="C8" s="56">
        <v>924.0</v>
      </c>
      <c r="D8" s="64" t="str">
        <f t="shared" si="1"/>
        <v>Yes</v>
      </c>
      <c r="E8" s="68">
        <v>583.0</v>
      </c>
      <c r="F8" s="68">
        <v>239.0</v>
      </c>
      <c r="G8" s="68">
        <v>66.0</v>
      </c>
      <c r="H8" s="66">
        <f t="shared" si="2"/>
        <v>0.630952381</v>
      </c>
      <c r="I8" s="66">
        <f t="shared" si="3"/>
        <v>0.2586580087</v>
      </c>
      <c r="J8" s="66">
        <f t="shared" si="4"/>
        <v>0.07142857143</v>
      </c>
      <c r="K8" s="67">
        <f t="shared" si="5"/>
        <v>0.03896103896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ht="15.0" customHeight="1">
      <c r="A9" s="49" t="s">
        <v>47</v>
      </c>
      <c r="B9" s="63" t="str">
        <f t="array" ref="B9">IFERROR(xlookup(A9,Cards!A$3:A$61,Cards!C$3:C$61,""),"")</f>
        <v>Brook</v>
      </c>
      <c r="C9" s="51">
        <v>690.0</v>
      </c>
      <c r="D9" s="64" t="str">
        <f t="shared" si="1"/>
        <v>Yes</v>
      </c>
      <c r="E9" s="65">
        <v>266.0</v>
      </c>
      <c r="F9" s="65">
        <v>248.0</v>
      </c>
      <c r="G9" s="65">
        <v>90.0</v>
      </c>
      <c r="H9" s="66">
        <f t="shared" si="2"/>
        <v>0.3855072464</v>
      </c>
      <c r="I9" s="66">
        <f t="shared" si="3"/>
        <v>0.3594202899</v>
      </c>
      <c r="J9" s="66">
        <f t="shared" si="4"/>
        <v>0.1304347826</v>
      </c>
      <c r="K9" s="67">
        <f t="shared" si="5"/>
        <v>0.1246376812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0" customHeight="1">
      <c r="A10" s="54" t="s">
        <v>49</v>
      </c>
      <c r="B10" s="63" t="str">
        <f t="array" ref="B10">IFERROR(xlookup(A10,Cards!A$3:A$61,Cards!C$3:C$61,""),"")</f>
        <v>Jinbe</v>
      </c>
      <c r="C10" s="56">
        <v>711.0</v>
      </c>
      <c r="D10" s="64" t="str">
        <f t="shared" si="1"/>
        <v>Yes</v>
      </c>
      <c r="E10" s="68">
        <v>365.0</v>
      </c>
      <c r="F10" s="68">
        <v>236.0</v>
      </c>
      <c r="G10" s="68">
        <v>73.0</v>
      </c>
      <c r="H10" s="66">
        <f t="shared" si="2"/>
        <v>0.5133614627</v>
      </c>
      <c r="I10" s="66">
        <f t="shared" si="3"/>
        <v>0.3319268636</v>
      </c>
      <c r="J10" s="66">
        <f t="shared" si="4"/>
        <v>0.1026722925</v>
      </c>
      <c r="K10" s="67">
        <f t="shared" si="5"/>
        <v>0.05203938115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0" customHeight="1">
      <c r="A11" s="49" t="s">
        <v>51</v>
      </c>
      <c r="B11" s="63" t="str">
        <f t="array" ref="B11">IFERROR(xlookup(A11,Cards!A$3:A$61,Cards!C$3:C$61,""),"")</f>
        <v>Franky</v>
      </c>
      <c r="C11" s="51">
        <v>614.0</v>
      </c>
      <c r="D11" s="64" t="str">
        <f t="shared" si="1"/>
        <v>Yes</v>
      </c>
      <c r="E11" s="65">
        <v>314.0</v>
      </c>
      <c r="F11" s="65">
        <v>214.0</v>
      </c>
      <c r="G11" s="65">
        <v>62.0</v>
      </c>
      <c r="H11" s="66">
        <f t="shared" si="2"/>
        <v>0.5114006515</v>
      </c>
      <c r="I11" s="66">
        <f t="shared" si="3"/>
        <v>0.348534202</v>
      </c>
      <c r="J11" s="66">
        <f t="shared" si="4"/>
        <v>0.1009771987</v>
      </c>
      <c r="K11" s="67">
        <f t="shared" si="5"/>
        <v>0.03908794788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0" customHeight="1">
      <c r="A12" s="54" t="s">
        <v>53</v>
      </c>
      <c r="B12" s="63" t="str">
        <f t="array" ref="B12">IFERROR(xlookup(A12,Cards!A$3:A$61,Cards!C$3:C$61,""),"")</f>
        <v>Usopp</v>
      </c>
      <c r="C12" s="56">
        <v>632.0</v>
      </c>
      <c r="D12" s="64" t="str">
        <f t="shared" si="1"/>
        <v>Yes</v>
      </c>
      <c r="E12" s="68">
        <v>326.0</v>
      </c>
      <c r="F12" s="68">
        <v>202.0</v>
      </c>
      <c r="G12" s="68">
        <v>73.0</v>
      </c>
      <c r="H12" s="66">
        <f t="shared" si="2"/>
        <v>0.5158227848</v>
      </c>
      <c r="I12" s="66">
        <f t="shared" si="3"/>
        <v>0.3196202532</v>
      </c>
      <c r="J12" s="66">
        <f t="shared" si="4"/>
        <v>0.1155063291</v>
      </c>
      <c r="K12" s="67">
        <f t="shared" si="5"/>
        <v>0.04905063291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15.0" customHeight="1">
      <c r="A13" s="49" t="s">
        <v>55</v>
      </c>
      <c r="B13" s="63" t="str">
        <f t="array" ref="B13">IFERROR(xlookup(A13,Cards!A$3:A$61,Cards!C$3:C$61,""),"")</f>
        <v>Monkey.D.Luffy</v>
      </c>
      <c r="C13" s="51">
        <v>834.0</v>
      </c>
      <c r="D13" s="64" t="str">
        <f t="shared" si="1"/>
        <v>Yes</v>
      </c>
      <c r="E13" s="65">
        <v>561.0</v>
      </c>
      <c r="F13" s="65">
        <v>216.0</v>
      </c>
      <c r="G13" s="65">
        <v>39.0</v>
      </c>
      <c r="H13" s="66">
        <f t="shared" si="2"/>
        <v>0.6726618705</v>
      </c>
      <c r="I13" s="66">
        <f t="shared" si="3"/>
        <v>0.2589928058</v>
      </c>
      <c r="J13" s="66">
        <f t="shared" si="4"/>
        <v>0.04676258993</v>
      </c>
      <c r="K13" s="67">
        <f t="shared" si="5"/>
        <v>0.02158273381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15.0" customHeight="1">
      <c r="A14" s="54" t="s">
        <v>57</v>
      </c>
      <c r="B14" s="63" t="str">
        <f t="array" ref="B14">IFERROR(xlookup(A14,Cards!A$3:A$61,Cards!C$3:C$61,""),"")</f>
        <v>Tony Tony Chopper</v>
      </c>
      <c r="C14" s="56">
        <v>757.0</v>
      </c>
      <c r="D14" s="64" t="str">
        <f t="shared" si="1"/>
        <v>Yes</v>
      </c>
      <c r="E14" s="68">
        <v>539.0</v>
      </c>
      <c r="F14" s="68">
        <v>160.0</v>
      </c>
      <c r="G14" s="68">
        <v>44.0</v>
      </c>
      <c r="H14" s="66">
        <f t="shared" si="2"/>
        <v>0.7120211361</v>
      </c>
      <c r="I14" s="66">
        <f t="shared" si="3"/>
        <v>0.2113606341</v>
      </c>
      <c r="J14" s="66">
        <f t="shared" si="4"/>
        <v>0.05812417437</v>
      </c>
      <c r="K14" s="67">
        <f t="shared" si="5"/>
        <v>0.01849405548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ht="15.0" customHeight="1">
      <c r="A15" s="49" t="s">
        <v>58</v>
      </c>
      <c r="B15" s="63" t="str">
        <f t="array" ref="B15">IFERROR(xlookup(A15,Cards!A$3:A$61,Cards!C$3:C$61,""),"")</f>
        <v>Enel</v>
      </c>
      <c r="C15" s="51">
        <v>754.0</v>
      </c>
      <c r="D15" s="64" t="str">
        <f t="shared" si="1"/>
        <v>Yes</v>
      </c>
      <c r="E15" s="65">
        <v>581.0</v>
      </c>
      <c r="F15" s="65">
        <v>134.0</v>
      </c>
      <c r="G15" s="65">
        <v>30.0</v>
      </c>
      <c r="H15" s="66">
        <f t="shared" si="2"/>
        <v>0.7705570292</v>
      </c>
      <c r="I15" s="66">
        <f t="shared" si="3"/>
        <v>0.1777188329</v>
      </c>
      <c r="J15" s="66">
        <f t="shared" si="4"/>
        <v>0.03978779841</v>
      </c>
      <c r="K15" s="67">
        <f t="shared" si="5"/>
        <v>0.01193633952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ht="15.0" customHeight="1">
      <c r="A16" s="54" t="s">
        <v>60</v>
      </c>
      <c r="B16" s="63" t="str">
        <f t="array" ref="B16">IFERROR(xlookup(A16,Cards!A$3:A$61,Cards!C$3:C$61,""),"")</f>
        <v>Usopp</v>
      </c>
      <c r="C16" s="56">
        <v>795.0</v>
      </c>
      <c r="D16" s="64" t="str">
        <f t="shared" si="1"/>
        <v>Yes</v>
      </c>
      <c r="E16" s="68">
        <v>614.0</v>
      </c>
      <c r="F16" s="68">
        <v>127.0</v>
      </c>
      <c r="G16" s="68">
        <v>45.0</v>
      </c>
      <c r="H16" s="66">
        <f t="shared" si="2"/>
        <v>0.772327044</v>
      </c>
      <c r="I16" s="66">
        <f t="shared" si="3"/>
        <v>0.1597484277</v>
      </c>
      <c r="J16" s="66">
        <f t="shared" si="4"/>
        <v>0.05660377358</v>
      </c>
      <c r="K16" s="67">
        <f t="shared" si="5"/>
        <v>0.01132075472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15.0" customHeight="1">
      <c r="A17" s="49" t="s">
        <v>61</v>
      </c>
      <c r="B17" s="63" t="str">
        <f t="array" ref="B17">IFERROR(xlookup(A17,Cards!A$3:A$61,Cards!C$3:C$61,""),"")</f>
        <v>Perona</v>
      </c>
      <c r="C17" s="51">
        <v>735.0</v>
      </c>
      <c r="D17" s="64" t="str">
        <f t="shared" si="1"/>
        <v>Yes</v>
      </c>
      <c r="E17" s="65">
        <v>545.0</v>
      </c>
      <c r="F17" s="65">
        <v>137.0</v>
      </c>
      <c r="G17" s="65">
        <v>24.0</v>
      </c>
      <c r="H17" s="66">
        <f t="shared" si="2"/>
        <v>0.7414965986</v>
      </c>
      <c r="I17" s="66">
        <f t="shared" si="3"/>
        <v>0.1863945578</v>
      </c>
      <c r="J17" s="66">
        <f t="shared" si="4"/>
        <v>0.03265306122</v>
      </c>
      <c r="K17" s="67">
        <f t="shared" si="5"/>
        <v>0.03945578231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15.0" customHeight="1">
      <c r="A18" s="54" t="s">
        <v>63</v>
      </c>
      <c r="B18" s="63" t="str">
        <f t="array" ref="B18">IFERROR(xlookup(A18,Cards!A$3:A$61,Cards!C$3:C$61,""),"")</f>
        <v>Sugar</v>
      </c>
      <c r="C18" s="56">
        <v>804.0</v>
      </c>
      <c r="D18" s="64" t="str">
        <f t="shared" si="1"/>
        <v>Yes</v>
      </c>
      <c r="E18" s="68">
        <v>616.0</v>
      </c>
      <c r="F18" s="68">
        <v>138.0</v>
      </c>
      <c r="G18" s="68">
        <v>34.0</v>
      </c>
      <c r="H18" s="66">
        <f t="shared" si="2"/>
        <v>0.7661691542</v>
      </c>
      <c r="I18" s="66">
        <f t="shared" si="3"/>
        <v>0.171641791</v>
      </c>
      <c r="J18" s="66">
        <f t="shared" si="4"/>
        <v>0.04228855721</v>
      </c>
      <c r="K18" s="67">
        <f t="shared" si="5"/>
        <v>0.01990049751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ht="15.0" customHeight="1">
      <c r="A19" s="49" t="s">
        <v>65</v>
      </c>
      <c r="B19" s="63" t="str">
        <f t="array" ref="B19">IFERROR(xlookup(A19,Cards!A$3:A$61,Cards!C$3:C$61,""),"")</f>
        <v>Monkey.D.Luffy</v>
      </c>
      <c r="C19" s="51">
        <v>210.0</v>
      </c>
      <c r="D19" s="64" t="str">
        <f t="shared" si="1"/>
        <v>Yes</v>
      </c>
      <c r="E19" s="65">
        <v>104.0</v>
      </c>
      <c r="F19" s="65">
        <v>81.0</v>
      </c>
      <c r="G19" s="65">
        <v>20.0</v>
      </c>
      <c r="H19" s="66">
        <f t="shared" si="2"/>
        <v>0.4952380952</v>
      </c>
      <c r="I19" s="66">
        <f t="shared" si="3"/>
        <v>0.3857142857</v>
      </c>
      <c r="J19" s="66">
        <f t="shared" si="4"/>
        <v>0.09523809524</v>
      </c>
      <c r="K19" s="67">
        <f t="shared" si="5"/>
        <v>0.02380952381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ht="15.0" customHeight="1">
      <c r="A20" s="49" t="s">
        <v>67</v>
      </c>
      <c r="B20" s="63" t="str">
        <f t="array" ref="B20">IFERROR(xlookup(A20,Cards!A$3:A$61,Cards!C$3:C$61,""),"")</f>
        <v>Tony Tony Chopper</v>
      </c>
      <c r="C20" s="56">
        <v>197.0</v>
      </c>
      <c r="D20" s="64" t="str">
        <f t="shared" si="1"/>
        <v>Yes</v>
      </c>
      <c r="E20" s="68">
        <v>111.0</v>
      </c>
      <c r="F20" s="68">
        <v>64.0</v>
      </c>
      <c r="G20" s="68">
        <v>20.0</v>
      </c>
      <c r="H20" s="66">
        <f t="shared" si="2"/>
        <v>0.5634517766</v>
      </c>
      <c r="I20" s="66">
        <f t="shared" si="3"/>
        <v>0.3248730964</v>
      </c>
      <c r="J20" s="66">
        <f t="shared" si="4"/>
        <v>0.1015228426</v>
      </c>
      <c r="K20" s="67">
        <f t="shared" si="5"/>
        <v>0.01015228426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ht="15.0" customHeight="1">
      <c r="A21" s="49" t="s">
        <v>68</v>
      </c>
      <c r="B21" s="63" t="str">
        <f t="array" ref="B21">IFERROR(xlookup(A21,Cards!A$3:A$61,Cards!C$3:C$61,""),"")</f>
        <v>Nami</v>
      </c>
      <c r="C21" s="51">
        <v>196.0</v>
      </c>
      <c r="D21" s="64" t="str">
        <f t="shared" si="1"/>
        <v>Yes</v>
      </c>
      <c r="E21" s="65">
        <v>124.0</v>
      </c>
      <c r="F21" s="65">
        <v>53.0</v>
      </c>
      <c r="G21" s="65">
        <v>14.0</v>
      </c>
      <c r="H21" s="66">
        <f t="shared" si="2"/>
        <v>0.6326530612</v>
      </c>
      <c r="I21" s="66">
        <f t="shared" si="3"/>
        <v>0.2704081633</v>
      </c>
      <c r="J21" s="66">
        <f t="shared" si="4"/>
        <v>0.07142857143</v>
      </c>
      <c r="K21" s="67">
        <f t="shared" si="5"/>
        <v>0.02551020408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15.0" customHeight="1">
      <c r="A22" s="49" t="s">
        <v>69</v>
      </c>
      <c r="B22" s="63" t="str">
        <f t="array" ref="B22">IFERROR(xlookup(A22,Cards!A$3:A$61,Cards!C$3:C$61,""),"")</f>
        <v>Roronoa Zoro</v>
      </c>
      <c r="C22" s="56">
        <v>197.0</v>
      </c>
      <c r="D22" s="64" t="str">
        <f t="shared" si="1"/>
        <v>Yes</v>
      </c>
      <c r="E22" s="68">
        <v>94.0</v>
      </c>
      <c r="F22" s="68">
        <v>82.0</v>
      </c>
      <c r="G22" s="68">
        <v>20.0</v>
      </c>
      <c r="H22" s="66">
        <f t="shared" si="2"/>
        <v>0.4771573604</v>
      </c>
      <c r="I22" s="66">
        <f t="shared" si="3"/>
        <v>0.4162436548</v>
      </c>
      <c r="J22" s="66">
        <f t="shared" si="4"/>
        <v>0.1015228426</v>
      </c>
      <c r="K22" s="67">
        <f t="shared" si="5"/>
        <v>0.005076142132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ht="15.0" customHeight="1">
      <c r="A23" s="49" t="s">
        <v>70</v>
      </c>
      <c r="B23" s="63" t="str">
        <f t="array" ref="B23">IFERROR(xlookup(A23,Cards!A$3:A$61,Cards!C$3:C$61,""),"")</f>
        <v>Nico Robin</v>
      </c>
      <c r="C23" s="51">
        <v>179.0</v>
      </c>
      <c r="D23" s="64" t="str">
        <f t="shared" si="1"/>
        <v>Yes</v>
      </c>
      <c r="E23" s="65">
        <v>89.0</v>
      </c>
      <c r="F23" s="65">
        <v>74.0</v>
      </c>
      <c r="G23" s="65">
        <v>14.0</v>
      </c>
      <c r="H23" s="66">
        <f t="shared" si="2"/>
        <v>0.4972067039</v>
      </c>
      <c r="I23" s="66">
        <f t="shared" si="3"/>
        <v>0.4134078212</v>
      </c>
      <c r="J23" s="66">
        <f t="shared" si="4"/>
        <v>0.0782122905</v>
      </c>
      <c r="K23" s="67">
        <f t="shared" si="5"/>
        <v>0.01117318436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ht="15.0" customHeight="1">
      <c r="A24" s="49" t="s">
        <v>71</v>
      </c>
      <c r="B24" s="63" t="str">
        <f t="array" ref="B24">IFERROR(xlookup(A24,Cards!A$3:A$61,Cards!C$3:C$61,""),"")</f>
        <v>Brook</v>
      </c>
      <c r="C24" s="56">
        <v>174.0</v>
      </c>
      <c r="D24" s="64" t="str">
        <f t="shared" si="1"/>
        <v>Yes</v>
      </c>
      <c r="E24" s="68">
        <v>96.0</v>
      </c>
      <c r="F24" s="68">
        <v>63.0</v>
      </c>
      <c r="G24" s="68">
        <v>11.0</v>
      </c>
      <c r="H24" s="66">
        <f t="shared" si="2"/>
        <v>0.5517241379</v>
      </c>
      <c r="I24" s="66">
        <f t="shared" si="3"/>
        <v>0.3620689655</v>
      </c>
      <c r="J24" s="66">
        <f t="shared" si="4"/>
        <v>0.0632183908</v>
      </c>
      <c r="K24" s="67">
        <f t="shared" si="5"/>
        <v>0.02298850575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ht="15.0" customHeight="1">
      <c r="A25" s="49" t="s">
        <v>72</v>
      </c>
      <c r="B25" s="63" t="str">
        <f t="array" ref="B25">IFERROR(xlookup(A25,Cards!A$3:A$61,Cards!C$3:C$61,""),"")</f>
        <v>Sanji</v>
      </c>
      <c r="C25" s="51">
        <v>186.0</v>
      </c>
      <c r="D25" s="64" t="str">
        <f t="shared" si="1"/>
        <v>Yes</v>
      </c>
      <c r="E25" s="65">
        <v>90.0</v>
      </c>
      <c r="F25" s="65">
        <v>73.0</v>
      </c>
      <c r="G25" s="65">
        <v>13.0</v>
      </c>
      <c r="H25" s="66">
        <f t="shared" si="2"/>
        <v>0.4838709677</v>
      </c>
      <c r="I25" s="66">
        <f t="shared" si="3"/>
        <v>0.3924731183</v>
      </c>
      <c r="J25" s="66">
        <f t="shared" si="4"/>
        <v>0.06989247312</v>
      </c>
      <c r="K25" s="67">
        <f t="shared" si="5"/>
        <v>0.05376344086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ht="15.0" customHeight="1">
      <c r="A26" s="49" t="s">
        <v>73</v>
      </c>
      <c r="B26" s="63" t="str">
        <f t="array" ref="B26">IFERROR(xlookup(A26,Cards!A$3:A$61,Cards!C$3:C$61,""),"")</f>
        <v>Jinbe</v>
      </c>
      <c r="C26" s="56">
        <v>177.0</v>
      </c>
      <c r="D26" s="64" t="str">
        <f t="shared" si="1"/>
        <v>Yes</v>
      </c>
      <c r="E26" s="68">
        <v>82.0</v>
      </c>
      <c r="F26" s="68">
        <v>70.0</v>
      </c>
      <c r="G26" s="68">
        <v>21.0</v>
      </c>
      <c r="H26" s="66">
        <f t="shared" si="2"/>
        <v>0.4632768362</v>
      </c>
      <c r="I26" s="66">
        <f t="shared" si="3"/>
        <v>0.395480226</v>
      </c>
      <c r="J26" s="66">
        <f t="shared" si="4"/>
        <v>0.1186440678</v>
      </c>
      <c r="K26" s="67">
        <f t="shared" si="5"/>
        <v>0.02259887006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ht="15.0" customHeight="1">
      <c r="A27" s="49" t="s">
        <v>74</v>
      </c>
      <c r="B27" s="63" t="str">
        <f t="array" ref="B27">IFERROR(xlookup(A27,Cards!A$3:A$61,Cards!C$3:C$61,""),"")</f>
        <v>Franky</v>
      </c>
      <c r="C27" s="51">
        <v>180.0</v>
      </c>
      <c r="D27" s="64" t="str">
        <f t="shared" si="1"/>
        <v>Yes</v>
      </c>
      <c r="E27" s="65">
        <v>94.0</v>
      </c>
      <c r="F27" s="65">
        <v>70.0</v>
      </c>
      <c r="G27" s="65">
        <v>10.0</v>
      </c>
      <c r="H27" s="66">
        <f t="shared" si="2"/>
        <v>0.5222222222</v>
      </c>
      <c r="I27" s="66">
        <f t="shared" si="3"/>
        <v>0.3888888889</v>
      </c>
      <c r="J27" s="66">
        <f t="shared" si="4"/>
        <v>0.05555555556</v>
      </c>
      <c r="K27" s="67">
        <f t="shared" si="5"/>
        <v>0.03333333333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ht="15.0" customHeight="1">
      <c r="A28" s="49" t="s">
        <v>75</v>
      </c>
      <c r="B28" s="63" t="str">
        <f t="array" ref="B28">IFERROR(xlookup(A28,Cards!A$3:A$61,Cards!C$3:C$61,""),"")</f>
        <v>Usopp</v>
      </c>
      <c r="C28" s="56">
        <v>179.0</v>
      </c>
      <c r="D28" s="64" t="str">
        <f t="shared" si="1"/>
        <v>Yes</v>
      </c>
      <c r="E28" s="68">
        <v>85.0</v>
      </c>
      <c r="F28" s="68">
        <v>71.0</v>
      </c>
      <c r="G28" s="68">
        <v>19.0</v>
      </c>
      <c r="H28" s="66">
        <f t="shared" si="2"/>
        <v>0.4748603352</v>
      </c>
      <c r="I28" s="66">
        <f t="shared" si="3"/>
        <v>0.3966480447</v>
      </c>
      <c r="J28" s="66">
        <f t="shared" si="4"/>
        <v>0.1061452514</v>
      </c>
      <c r="K28" s="67">
        <f t="shared" si="5"/>
        <v>0.02234636872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ht="15.0" customHeight="1">
      <c r="A29" s="49" t="s">
        <v>76</v>
      </c>
      <c r="B29" s="63" t="str">
        <f t="array" ref="B29">IFERROR(xlookup(A29,Cards!A$3:A$61,Cards!C$3:C$61,""),"")</f>
        <v>Monkey.D.Luffy</v>
      </c>
      <c r="C29" s="51">
        <v>359.0</v>
      </c>
      <c r="D29" s="64" t="str">
        <f t="shared" si="1"/>
        <v>Yes</v>
      </c>
      <c r="E29" s="65">
        <v>215.0</v>
      </c>
      <c r="F29" s="65">
        <v>90.0</v>
      </c>
      <c r="G29" s="65">
        <v>30.0</v>
      </c>
      <c r="H29" s="66">
        <f t="shared" si="2"/>
        <v>0.5988857939</v>
      </c>
      <c r="I29" s="66">
        <f t="shared" si="3"/>
        <v>0.2506963788</v>
      </c>
      <c r="J29" s="66">
        <f t="shared" si="4"/>
        <v>0.08356545961</v>
      </c>
      <c r="K29" s="67">
        <f t="shared" si="5"/>
        <v>0.06685236769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ht="15.0" customHeight="1">
      <c r="A30" s="54" t="s">
        <v>79</v>
      </c>
      <c r="B30" s="63" t="str">
        <f t="array" ref="B30">IFERROR(xlookup(A30,Cards!A$3:A$61,Cards!C$3:C$61,""),"")</f>
        <v>Monkey.D.Luffy</v>
      </c>
      <c r="C30" s="56">
        <v>367.0</v>
      </c>
      <c r="D30" s="64" t="str">
        <f t="shared" si="1"/>
        <v>Yes</v>
      </c>
      <c r="E30" s="68">
        <v>282.0</v>
      </c>
      <c r="F30" s="68">
        <v>62.0</v>
      </c>
      <c r="G30" s="68">
        <v>16.0</v>
      </c>
      <c r="H30" s="66">
        <f t="shared" si="2"/>
        <v>0.7683923706</v>
      </c>
      <c r="I30" s="66">
        <f t="shared" si="3"/>
        <v>0.1689373297</v>
      </c>
      <c r="J30" s="66">
        <f t="shared" si="4"/>
        <v>0.04359673025</v>
      </c>
      <c r="K30" s="67">
        <f t="shared" si="5"/>
        <v>0.01907356948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ht="15.0" customHeight="1">
      <c r="A31" s="49" t="s">
        <v>80</v>
      </c>
      <c r="B31" s="63" t="str">
        <f t="array" ref="B31">IFERROR(xlookup(A31,Cards!A$3:A$61,Cards!C$3:C$61,""),"")</f>
        <v>Roronoa Zoro</v>
      </c>
      <c r="C31" s="51">
        <v>335.0</v>
      </c>
      <c r="D31" s="64" t="str">
        <f t="shared" si="1"/>
        <v>Yes</v>
      </c>
      <c r="E31" s="65">
        <v>222.0</v>
      </c>
      <c r="F31" s="65">
        <v>80.0</v>
      </c>
      <c r="G31" s="65">
        <v>27.0</v>
      </c>
      <c r="H31" s="66">
        <f t="shared" si="2"/>
        <v>0.6626865672</v>
      </c>
      <c r="I31" s="66">
        <f t="shared" si="3"/>
        <v>0.2388059701</v>
      </c>
      <c r="J31" s="66">
        <f t="shared" si="4"/>
        <v>0.08059701493</v>
      </c>
      <c r="K31" s="67">
        <f t="shared" si="5"/>
        <v>0.01791044776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ht="15.0" customHeight="1">
      <c r="A32" s="54" t="s">
        <v>81</v>
      </c>
      <c r="B32" s="63" t="str">
        <f t="array" ref="B32">IFERROR(xlookup(A32,Cards!A$3:A$61,Cards!C$3:C$61,""),"")</f>
        <v>Nami</v>
      </c>
      <c r="C32" s="56">
        <v>349.0</v>
      </c>
      <c r="D32" s="64" t="str">
        <f t="shared" si="1"/>
        <v>Yes</v>
      </c>
      <c r="E32" s="68">
        <v>232.0</v>
      </c>
      <c r="F32" s="68">
        <v>90.0</v>
      </c>
      <c r="G32" s="68">
        <v>21.0</v>
      </c>
      <c r="H32" s="66">
        <f t="shared" si="2"/>
        <v>0.664756447</v>
      </c>
      <c r="I32" s="66">
        <f t="shared" si="3"/>
        <v>0.2578796562</v>
      </c>
      <c r="J32" s="66">
        <f t="shared" si="4"/>
        <v>0.06017191977</v>
      </c>
      <c r="K32" s="67">
        <f t="shared" si="5"/>
        <v>0.01719197708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ht="15.0" customHeight="1">
      <c r="A33" s="49" t="s">
        <v>82</v>
      </c>
      <c r="B33" s="63" t="str">
        <f t="array" ref="B33">IFERROR(xlookup(A33,Cards!A$3:A$61,Cards!C$3:C$61,""),"")</f>
        <v>Sanji</v>
      </c>
      <c r="C33" s="51">
        <v>310.0</v>
      </c>
      <c r="D33" s="64" t="str">
        <f t="shared" si="1"/>
        <v>Yes</v>
      </c>
      <c r="E33" s="65">
        <v>180.0</v>
      </c>
      <c r="F33" s="65">
        <v>86.0</v>
      </c>
      <c r="G33" s="65">
        <v>36.0</v>
      </c>
      <c r="H33" s="66">
        <f t="shared" si="2"/>
        <v>0.5806451613</v>
      </c>
      <c r="I33" s="66">
        <f t="shared" si="3"/>
        <v>0.2774193548</v>
      </c>
      <c r="J33" s="66">
        <f t="shared" si="4"/>
        <v>0.1161290323</v>
      </c>
      <c r="K33" s="67">
        <f t="shared" si="5"/>
        <v>0.02580645161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ht="15.0" customHeight="1">
      <c r="A34" s="54" t="s">
        <v>83</v>
      </c>
      <c r="B34" s="63" t="str">
        <f t="array" ref="B34">IFERROR(xlookup(A34,Cards!A$3:A$61,Cards!C$3:C$61,""),"")</f>
        <v>Arlong</v>
      </c>
      <c r="C34" s="56">
        <v>126.0</v>
      </c>
      <c r="D34" s="64" t="str">
        <f t="shared" si="1"/>
        <v>Yes</v>
      </c>
      <c r="E34" s="68">
        <v>85.0</v>
      </c>
      <c r="F34" s="68">
        <v>33.0</v>
      </c>
      <c r="G34" s="68">
        <v>6.0</v>
      </c>
      <c r="H34" s="66">
        <f t="shared" si="2"/>
        <v>0.6746031746</v>
      </c>
      <c r="I34" s="66">
        <f t="shared" si="3"/>
        <v>0.2619047619</v>
      </c>
      <c r="J34" s="66">
        <f t="shared" si="4"/>
        <v>0.04761904762</v>
      </c>
      <c r="K34" s="67">
        <f t="shared" si="5"/>
        <v>0.01587301587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ht="15.0" customHeight="1">
      <c r="A35" s="49" t="s">
        <v>85</v>
      </c>
      <c r="B35" s="63" t="str">
        <f t="array" ref="B35">IFERROR(xlookup(A35,Cards!A$3:A$61,Cards!C$3:C$61,""),"")</f>
        <v>Dracule Mihawk</v>
      </c>
      <c r="C35" s="51">
        <v>254.0</v>
      </c>
      <c r="D35" s="64" t="str">
        <f t="shared" si="1"/>
        <v>Yes</v>
      </c>
      <c r="E35" s="65">
        <v>167.0</v>
      </c>
      <c r="F35" s="65">
        <v>62.0</v>
      </c>
      <c r="G35" s="65">
        <v>15.0</v>
      </c>
      <c r="H35" s="66">
        <f t="shared" si="2"/>
        <v>0.657480315</v>
      </c>
      <c r="I35" s="66">
        <f t="shared" si="3"/>
        <v>0.2440944882</v>
      </c>
      <c r="J35" s="66">
        <f t="shared" si="4"/>
        <v>0.05905511811</v>
      </c>
      <c r="K35" s="67">
        <f t="shared" si="5"/>
        <v>0.03937007874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ht="15.0" customHeight="1">
      <c r="A36" s="54" t="s">
        <v>87</v>
      </c>
      <c r="B36" s="63" t="str">
        <f t="array" ref="B36">IFERROR(xlookup(A36,Cards!A$3:A$61,Cards!C$3:C$61,""),"")</f>
        <v>Usopp</v>
      </c>
      <c r="C36" s="56">
        <v>305.0</v>
      </c>
      <c r="D36" s="64" t="str">
        <f t="shared" si="1"/>
        <v>Yes</v>
      </c>
      <c r="E36" s="68">
        <v>196.0</v>
      </c>
      <c r="F36" s="68">
        <v>76.0</v>
      </c>
      <c r="G36" s="68">
        <v>24.0</v>
      </c>
      <c r="H36" s="66">
        <f t="shared" si="2"/>
        <v>0.6426229508</v>
      </c>
      <c r="I36" s="66">
        <f t="shared" si="3"/>
        <v>0.2491803279</v>
      </c>
      <c r="J36" s="66">
        <f t="shared" si="4"/>
        <v>0.07868852459</v>
      </c>
      <c r="K36" s="67">
        <f t="shared" si="5"/>
        <v>0.02950819672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ht="15.0" customHeight="1">
      <c r="A37" s="49" t="s">
        <v>88</v>
      </c>
      <c r="B37" s="63" t="str">
        <f t="array" ref="B37">IFERROR(xlookup(A37,Cards!A$3:A$61,Cards!C$3:C$61,""),"")</f>
        <v>Shanks</v>
      </c>
      <c r="C37" s="51">
        <v>278.0</v>
      </c>
      <c r="D37" s="64" t="str">
        <f t="shared" si="1"/>
        <v>Yes</v>
      </c>
      <c r="E37" s="65">
        <v>180.0</v>
      </c>
      <c r="F37" s="65">
        <v>79.0</v>
      </c>
      <c r="G37" s="65">
        <v>16.0</v>
      </c>
      <c r="H37" s="66">
        <f t="shared" si="2"/>
        <v>0.6474820144</v>
      </c>
      <c r="I37" s="66">
        <f t="shared" si="3"/>
        <v>0.2841726619</v>
      </c>
      <c r="J37" s="66">
        <f t="shared" si="4"/>
        <v>0.05755395683</v>
      </c>
      <c r="K37" s="67">
        <f t="shared" si="5"/>
        <v>0.01079136691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ht="15.0" customHeight="1">
      <c r="A38" s="54" t="s">
        <v>90</v>
      </c>
      <c r="B38" s="63" t="str">
        <f t="array" ref="B38">IFERROR(xlookup(A38,Cards!A$3:A$61,Cards!C$3:C$61,""),"")</f>
        <v>Monkey.D.Luffy</v>
      </c>
      <c r="C38" s="56">
        <v>212.0</v>
      </c>
      <c r="D38" s="64" t="str">
        <f t="shared" si="1"/>
        <v>Yes</v>
      </c>
      <c r="E38" s="68">
        <v>134.0</v>
      </c>
      <c r="F38" s="68">
        <v>56.0</v>
      </c>
      <c r="G38" s="68">
        <v>15.0</v>
      </c>
      <c r="H38" s="66">
        <f t="shared" si="2"/>
        <v>0.6320754717</v>
      </c>
      <c r="I38" s="66">
        <f t="shared" si="3"/>
        <v>0.2641509434</v>
      </c>
      <c r="J38" s="66">
        <f t="shared" si="4"/>
        <v>0.07075471698</v>
      </c>
      <c r="K38" s="67">
        <f t="shared" si="5"/>
        <v>0.03301886792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ht="15.0" customHeight="1">
      <c r="A39" s="49" t="s">
        <v>92</v>
      </c>
      <c r="B39" s="63" t="str">
        <f t="array" ref="B39">IFERROR(xlookup(A39,Cards!A$3:A$61,Cards!C$3:C$61,""),"")</f>
        <v>Tony Tony Chopper</v>
      </c>
      <c r="C39" s="51">
        <v>214.0</v>
      </c>
      <c r="D39" s="64" t="str">
        <f t="shared" si="1"/>
        <v>Yes</v>
      </c>
      <c r="E39" s="65">
        <v>135.0</v>
      </c>
      <c r="F39" s="65">
        <v>67.0</v>
      </c>
      <c r="G39" s="65">
        <v>8.0</v>
      </c>
      <c r="H39" s="66">
        <f t="shared" si="2"/>
        <v>0.6308411215</v>
      </c>
      <c r="I39" s="66">
        <f t="shared" si="3"/>
        <v>0.3130841121</v>
      </c>
      <c r="J39" s="66">
        <f t="shared" si="4"/>
        <v>0.03738317757</v>
      </c>
      <c r="K39" s="67">
        <f t="shared" si="5"/>
        <v>0.01869158879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15.0" customHeight="1">
      <c r="A40" s="54" t="s">
        <v>93</v>
      </c>
      <c r="B40" s="63" t="str">
        <f t="array" ref="B40">IFERROR(xlookup(A40,Cards!A$3:A$61,Cards!C$3:C$61,""),"")</f>
        <v>Roronoa Zoro</v>
      </c>
      <c r="C40" s="56">
        <v>206.0</v>
      </c>
      <c r="D40" s="64" t="str">
        <f t="shared" si="1"/>
        <v>Yes</v>
      </c>
      <c r="E40" s="68">
        <v>140.0</v>
      </c>
      <c r="F40" s="68">
        <v>56.0</v>
      </c>
      <c r="G40" s="68">
        <v>10.0</v>
      </c>
      <c r="H40" s="66">
        <f t="shared" si="2"/>
        <v>0.6796116505</v>
      </c>
      <c r="I40" s="66">
        <f t="shared" si="3"/>
        <v>0.2718446602</v>
      </c>
      <c r="J40" s="66">
        <f t="shared" si="4"/>
        <v>0.04854368932</v>
      </c>
      <c r="K40" s="67">
        <f t="shared" si="5"/>
        <v>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ht="15.0" customHeight="1">
      <c r="A41" s="49" t="s">
        <v>94</v>
      </c>
      <c r="B41" s="63" t="str">
        <f t="array" ref="B41">IFERROR(xlookup(A41,Cards!A$3:A$61,Cards!C$3:C$61,""),"")</f>
        <v>Nami</v>
      </c>
      <c r="C41" s="51">
        <v>226.0</v>
      </c>
      <c r="D41" s="64" t="str">
        <f t="shared" si="1"/>
        <v>Yes</v>
      </c>
      <c r="E41" s="65">
        <v>132.0</v>
      </c>
      <c r="F41" s="65">
        <v>65.0</v>
      </c>
      <c r="G41" s="65">
        <v>20.0</v>
      </c>
      <c r="H41" s="66">
        <f t="shared" si="2"/>
        <v>0.5840707965</v>
      </c>
      <c r="I41" s="66">
        <f t="shared" si="3"/>
        <v>0.2876106195</v>
      </c>
      <c r="J41" s="66">
        <f t="shared" si="4"/>
        <v>0.08849557522</v>
      </c>
      <c r="K41" s="67">
        <f t="shared" si="5"/>
        <v>0.03982300885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ht="15.0" customHeight="1">
      <c r="A42" s="54" t="s">
        <v>95</v>
      </c>
      <c r="B42" s="63" t="str">
        <f t="array" ref="B42">IFERROR(xlookup(A42,Cards!A$3:A$61,Cards!C$3:C$61,""),"")</f>
        <v>Nico Robin</v>
      </c>
      <c r="C42" s="56">
        <v>181.0</v>
      </c>
      <c r="D42" s="64" t="str">
        <f t="shared" si="1"/>
        <v>Yes</v>
      </c>
      <c r="E42" s="68">
        <v>127.0</v>
      </c>
      <c r="F42" s="68">
        <v>17.0</v>
      </c>
      <c r="G42" s="68">
        <v>10.0</v>
      </c>
      <c r="H42" s="66">
        <f t="shared" si="2"/>
        <v>0.7016574586</v>
      </c>
      <c r="I42" s="66">
        <f t="shared" si="3"/>
        <v>0.09392265193</v>
      </c>
      <c r="J42" s="66">
        <f t="shared" si="4"/>
        <v>0.05524861878</v>
      </c>
      <c r="K42" s="67">
        <f t="shared" si="5"/>
        <v>0.1491712707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ht="15.0" customHeight="1">
      <c r="A43" s="49" t="s">
        <v>96</v>
      </c>
      <c r="B43" s="63" t="str">
        <f t="array" ref="B43">IFERROR(xlookup(A43,Cards!A$3:A$61,Cards!C$3:C$61,""),"")</f>
        <v>Shanks</v>
      </c>
      <c r="C43" s="51">
        <v>219.0</v>
      </c>
      <c r="D43" s="64" t="str">
        <f t="shared" si="1"/>
        <v>Yes</v>
      </c>
      <c r="E43" s="65">
        <v>114.0</v>
      </c>
      <c r="F43" s="65">
        <v>76.0</v>
      </c>
      <c r="G43" s="65">
        <v>18.0</v>
      </c>
      <c r="H43" s="66">
        <f t="shared" si="2"/>
        <v>0.5205479452</v>
      </c>
      <c r="I43" s="66">
        <f t="shared" si="3"/>
        <v>0.3470319635</v>
      </c>
      <c r="J43" s="66">
        <f t="shared" si="4"/>
        <v>0.08219178082</v>
      </c>
      <c r="K43" s="67">
        <f t="shared" si="5"/>
        <v>0.0502283105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ht="15.0" customHeight="1">
      <c r="A44" s="54" t="s">
        <v>97</v>
      </c>
      <c r="B44" s="63" t="str">
        <f t="array" ref="B44">IFERROR(xlookup(A44,Cards!A$3:A$61,Cards!C$3:C$61,""),"")</f>
        <v>Sanji</v>
      </c>
      <c r="C44" s="56">
        <v>210.0</v>
      </c>
      <c r="D44" s="64" t="str">
        <f t="shared" si="1"/>
        <v>Yes</v>
      </c>
      <c r="E44" s="68">
        <v>138.0</v>
      </c>
      <c r="F44" s="68">
        <v>59.0</v>
      </c>
      <c r="G44" s="68">
        <v>12.0</v>
      </c>
      <c r="H44" s="66">
        <f t="shared" si="2"/>
        <v>0.6571428571</v>
      </c>
      <c r="I44" s="66">
        <f t="shared" si="3"/>
        <v>0.280952381</v>
      </c>
      <c r="J44" s="66">
        <f t="shared" si="4"/>
        <v>0.05714285714</v>
      </c>
      <c r="K44" s="67">
        <f t="shared" si="5"/>
        <v>0.004761904762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ht="15.0" customHeight="1">
      <c r="A45" s="49" t="s">
        <v>98</v>
      </c>
      <c r="B45" s="63" t="str">
        <f t="array" ref="B45">IFERROR(xlookup(A45,Cards!A$3:A$61,Cards!C$3:C$61,""),"")</f>
        <v>Uta</v>
      </c>
      <c r="C45" s="51">
        <v>191.0</v>
      </c>
      <c r="D45" s="64" t="str">
        <f t="shared" si="1"/>
        <v>Yes</v>
      </c>
      <c r="E45" s="65">
        <v>105.0</v>
      </c>
      <c r="F45" s="65">
        <v>67.0</v>
      </c>
      <c r="G45" s="65">
        <v>13.0</v>
      </c>
      <c r="H45" s="66">
        <f t="shared" si="2"/>
        <v>0.5497382199</v>
      </c>
      <c r="I45" s="66">
        <f t="shared" si="3"/>
        <v>0.3507853403</v>
      </c>
      <c r="J45" s="66">
        <f t="shared" si="4"/>
        <v>0.06806282723</v>
      </c>
      <c r="K45" s="67">
        <f t="shared" si="5"/>
        <v>0.03141361257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ht="15.0" customHeight="1">
      <c r="A46" s="54" t="s">
        <v>100</v>
      </c>
      <c r="B46" s="63" t="str">
        <f t="array" ref="B46">IFERROR(xlookup(A46,Cards!A$3:A$61,Cards!C$3:C$61,""),"")</f>
        <v>Brook</v>
      </c>
      <c r="C46" s="56">
        <v>192.0</v>
      </c>
      <c r="D46" s="64" t="str">
        <f t="shared" si="1"/>
        <v>Yes</v>
      </c>
      <c r="E46" s="68">
        <v>127.0</v>
      </c>
      <c r="F46" s="68">
        <v>56.0</v>
      </c>
      <c r="G46" s="68">
        <v>6.0</v>
      </c>
      <c r="H46" s="66">
        <f t="shared" si="2"/>
        <v>0.6614583333</v>
      </c>
      <c r="I46" s="66">
        <f t="shared" si="3"/>
        <v>0.2916666667</v>
      </c>
      <c r="J46" s="66">
        <f t="shared" si="4"/>
        <v>0.03125</v>
      </c>
      <c r="K46" s="67">
        <f t="shared" si="5"/>
        <v>0.015625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ht="15.0" customHeight="1">
      <c r="A47" s="49" t="s">
        <v>101</v>
      </c>
      <c r="B47" s="63" t="str">
        <f t="array" ref="B47">IFERROR(xlookup(A47,Cards!A$3:A$61,Cards!C$3:C$61,""),"")</f>
        <v>Usopp</v>
      </c>
      <c r="C47" s="51">
        <v>192.0</v>
      </c>
      <c r="D47" s="64" t="str">
        <f t="shared" si="1"/>
        <v>Yes</v>
      </c>
      <c r="E47" s="65">
        <v>136.0</v>
      </c>
      <c r="F47" s="65">
        <v>36.0</v>
      </c>
      <c r="G47" s="65">
        <v>13.0</v>
      </c>
      <c r="H47" s="66">
        <f t="shared" si="2"/>
        <v>0.7083333333</v>
      </c>
      <c r="I47" s="66">
        <f t="shared" si="3"/>
        <v>0.1875</v>
      </c>
      <c r="J47" s="66">
        <f t="shared" si="4"/>
        <v>0.06770833333</v>
      </c>
      <c r="K47" s="67">
        <f t="shared" si="5"/>
        <v>0.03645833333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ht="15.0" customHeight="1">
      <c r="A48" s="54" t="s">
        <v>102</v>
      </c>
      <c r="B48" s="63" t="str">
        <f t="array" ref="B48">IFERROR(xlookup(A48,Cards!A$3:A$61,Cards!C$3:C$61,""),"")</f>
        <v>Jinbe</v>
      </c>
      <c r="C48" s="56">
        <v>187.0</v>
      </c>
      <c r="D48" s="64" t="str">
        <f t="shared" si="1"/>
        <v>Yes</v>
      </c>
      <c r="E48" s="68">
        <v>121.0</v>
      </c>
      <c r="F48" s="68">
        <v>51.0</v>
      </c>
      <c r="G48" s="68">
        <v>8.0</v>
      </c>
      <c r="H48" s="66">
        <f t="shared" si="2"/>
        <v>0.6470588235</v>
      </c>
      <c r="I48" s="66">
        <f t="shared" si="3"/>
        <v>0.2727272727</v>
      </c>
      <c r="J48" s="66">
        <f t="shared" si="4"/>
        <v>0.04278074866</v>
      </c>
      <c r="K48" s="67">
        <f t="shared" si="5"/>
        <v>0.03743315508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ht="15.0" customHeight="1">
      <c r="A49" s="49" t="s">
        <v>103</v>
      </c>
      <c r="B49" s="63" t="str">
        <f t="array" ref="B49">IFERROR(xlookup(A49,Cards!A$3:A$61,Cards!C$3:C$61,""),"")</f>
        <v>Franky</v>
      </c>
      <c r="C49" s="51">
        <v>195.0</v>
      </c>
      <c r="D49" s="64" t="str">
        <f t="shared" si="1"/>
        <v>Yes</v>
      </c>
      <c r="E49" s="65">
        <v>120.0</v>
      </c>
      <c r="F49" s="65">
        <v>67.0</v>
      </c>
      <c r="G49" s="65">
        <v>3.0</v>
      </c>
      <c r="H49" s="66">
        <f t="shared" si="2"/>
        <v>0.6153846154</v>
      </c>
      <c r="I49" s="66">
        <f t="shared" si="3"/>
        <v>0.3435897436</v>
      </c>
      <c r="J49" s="66">
        <f t="shared" si="4"/>
        <v>0.01538461538</v>
      </c>
      <c r="K49" s="67">
        <f t="shared" si="5"/>
        <v>0.02564102564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ht="15.0" customHeight="1">
      <c r="A50" s="54" t="s">
        <v>104</v>
      </c>
      <c r="B50" s="63" t="str">
        <f t="array" ref="B50">IFERROR(xlookup(A50,Cards!A$3:A$61,Cards!C$3:C$61,""),"")</f>
        <v>Sabo</v>
      </c>
      <c r="C50" s="56">
        <v>224.0</v>
      </c>
      <c r="D50" s="64" t="str">
        <f t="shared" si="1"/>
        <v>Yes</v>
      </c>
      <c r="E50" s="68">
        <v>136.0</v>
      </c>
      <c r="F50" s="68">
        <v>45.0</v>
      </c>
      <c r="G50" s="68">
        <v>37.0</v>
      </c>
      <c r="H50" s="66">
        <f t="shared" si="2"/>
        <v>0.6071428571</v>
      </c>
      <c r="I50" s="66">
        <f t="shared" si="3"/>
        <v>0.2008928571</v>
      </c>
      <c r="J50" s="66">
        <f t="shared" si="4"/>
        <v>0.1651785714</v>
      </c>
      <c r="K50" s="67">
        <f t="shared" si="5"/>
        <v>0.02678571429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ht="15.0" customHeight="1">
      <c r="A51" s="49" t="s">
        <v>107</v>
      </c>
      <c r="B51" s="63" t="str">
        <f t="array" ref="B51">IFERROR(xlookup(A51,Cards!A$3:A$61,Cards!C$3:C$61,""),"")</f>
        <v>Ain</v>
      </c>
      <c r="C51" s="51">
        <v>85.0</v>
      </c>
      <c r="D51" s="64" t="str">
        <f t="shared" si="1"/>
        <v>Yes</v>
      </c>
      <c r="E51" s="65">
        <v>67.0</v>
      </c>
      <c r="F51" s="65">
        <v>10.0</v>
      </c>
      <c r="G51" s="65">
        <v>7.0</v>
      </c>
      <c r="H51" s="66">
        <f t="shared" si="2"/>
        <v>0.7882352941</v>
      </c>
      <c r="I51" s="66">
        <f t="shared" si="3"/>
        <v>0.1176470588</v>
      </c>
      <c r="J51" s="66">
        <f t="shared" si="4"/>
        <v>0.08235294118</v>
      </c>
      <c r="K51" s="67">
        <f t="shared" si="5"/>
        <v>0.01176470588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ht="15.0" customHeight="1">
      <c r="A52" s="54" t="s">
        <v>109</v>
      </c>
      <c r="B52" s="63" t="str">
        <f t="array" ref="B52">IFERROR(xlookup(A52,Cards!A$3:A$61,Cards!C$3:C$61,""),"")</f>
        <v>Monkey.D.Luffy</v>
      </c>
      <c r="C52" s="56">
        <v>519.0</v>
      </c>
      <c r="D52" s="64" t="str">
        <f t="shared" si="1"/>
        <v>Yes</v>
      </c>
      <c r="E52" s="68">
        <v>302.0</v>
      </c>
      <c r="F52" s="68">
        <v>149.0</v>
      </c>
      <c r="G52" s="68">
        <v>45.0</v>
      </c>
      <c r="H52" s="66">
        <f t="shared" si="2"/>
        <v>0.5818882466</v>
      </c>
      <c r="I52" s="66">
        <f t="shared" si="3"/>
        <v>0.2870905588</v>
      </c>
      <c r="J52" s="66">
        <f t="shared" si="4"/>
        <v>0.08670520231</v>
      </c>
      <c r="K52" s="67">
        <f t="shared" si="5"/>
        <v>0.04431599229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ht="15.0" customHeight="1">
      <c r="A53" s="49" t="s">
        <v>110</v>
      </c>
      <c r="B53" s="63" t="str">
        <f t="array" ref="B53">IFERROR(xlookup(A53,Cards!A$3:A$61,Cards!C$3:C$61,""),"")</f>
        <v>Ulti</v>
      </c>
      <c r="C53" s="51">
        <v>77.0</v>
      </c>
      <c r="D53" s="64" t="str">
        <f t="shared" si="1"/>
        <v>Yes</v>
      </c>
      <c r="E53" s="65">
        <v>58.0</v>
      </c>
      <c r="F53" s="65">
        <v>16.0</v>
      </c>
      <c r="G53" s="65">
        <v>3.0</v>
      </c>
      <c r="H53" s="66">
        <f t="shared" si="2"/>
        <v>0.7532467532</v>
      </c>
      <c r="I53" s="66">
        <f t="shared" si="3"/>
        <v>0.2077922078</v>
      </c>
      <c r="J53" s="66">
        <f t="shared" si="4"/>
        <v>0.03896103896</v>
      </c>
      <c r="K53" s="67">
        <f t="shared" si="5"/>
        <v>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ht="15.0" customHeight="1">
      <c r="A54" s="54" t="s">
        <v>112</v>
      </c>
      <c r="B54" s="63" t="str">
        <f t="array" ref="B54">IFERROR(xlookup(A54,Cards!A$3:A$61,Cards!C$3:C$61,""),"")</f>
        <v>Atmos</v>
      </c>
      <c r="C54" s="56">
        <v>50.0</v>
      </c>
      <c r="D54" s="64" t="str">
        <f t="shared" si="1"/>
        <v>Yes</v>
      </c>
      <c r="E54" s="68">
        <v>38.0</v>
      </c>
      <c r="F54" s="68">
        <v>8.0</v>
      </c>
      <c r="G54" s="68">
        <v>4.0</v>
      </c>
      <c r="H54" s="66">
        <f t="shared" si="2"/>
        <v>0.76</v>
      </c>
      <c r="I54" s="66">
        <f t="shared" si="3"/>
        <v>0.16</v>
      </c>
      <c r="J54" s="66">
        <f t="shared" si="4"/>
        <v>0.08</v>
      </c>
      <c r="K54" s="67">
        <f t="shared" si="5"/>
        <v>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ht="15.0" customHeight="1">
      <c r="A55" s="49" t="s">
        <v>114</v>
      </c>
      <c r="B55" s="63" t="str">
        <f t="array" ref="B55">IFERROR(xlookup(A55,Cards!A$3:A$61,Cards!C$3:C$61,""),"")</f>
        <v>Emporio.Ivankov</v>
      </c>
      <c r="C55" s="51">
        <v>57.0</v>
      </c>
      <c r="D55" s="64" t="str">
        <f t="shared" si="1"/>
        <v>Yes</v>
      </c>
      <c r="E55" s="65">
        <v>33.0</v>
      </c>
      <c r="F55" s="65">
        <v>19.0</v>
      </c>
      <c r="G55" s="65">
        <v>2.0</v>
      </c>
      <c r="H55" s="66">
        <f t="shared" si="2"/>
        <v>0.5789473684</v>
      </c>
      <c r="I55" s="66">
        <f t="shared" si="3"/>
        <v>0.3333333333</v>
      </c>
      <c r="J55" s="66">
        <f t="shared" si="4"/>
        <v>0.0350877193</v>
      </c>
      <c r="K55" s="67">
        <f t="shared" si="5"/>
        <v>0.05263157895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ht="15.0" customHeight="1">
      <c r="A56" s="54" t="s">
        <v>116</v>
      </c>
      <c r="B56" s="63" t="str">
        <f t="array" ref="B56">IFERROR(xlookup(A56,Cards!A$3:A$61,Cards!C$3:C$61,""),"")</f>
        <v>Raise Max</v>
      </c>
      <c r="C56" s="56">
        <v>43.0</v>
      </c>
      <c r="D56" s="64" t="str">
        <f t="shared" si="1"/>
        <v>Low Pop - Caution</v>
      </c>
      <c r="E56" s="68">
        <v>28.0</v>
      </c>
      <c r="F56" s="68">
        <v>8.0</v>
      </c>
      <c r="G56" s="68">
        <v>5.0</v>
      </c>
      <c r="H56" s="66">
        <f t="shared" si="2"/>
        <v>0.6511627907</v>
      </c>
      <c r="I56" s="66">
        <f t="shared" si="3"/>
        <v>0.1860465116</v>
      </c>
      <c r="J56" s="66">
        <f t="shared" si="4"/>
        <v>0.1162790698</v>
      </c>
      <c r="K56" s="67">
        <f t="shared" si="5"/>
        <v>0.04651162791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ht="15.0" customHeight="1">
      <c r="A57" s="49" t="s">
        <v>119</v>
      </c>
      <c r="B57" s="63" t="str">
        <f t="array" ref="B57">IFERROR(xlookup(A57,Cards!A$3:A$61,Cards!C$3:C$61,""),"")</f>
        <v>Portgas.D.Ace</v>
      </c>
      <c r="C57" s="51">
        <v>316.0</v>
      </c>
      <c r="D57" s="64" t="str">
        <f t="shared" si="1"/>
        <v>Yes</v>
      </c>
      <c r="E57" s="65">
        <v>200.0</v>
      </c>
      <c r="F57" s="65">
        <v>72.0</v>
      </c>
      <c r="G57" s="65">
        <v>34.0</v>
      </c>
      <c r="H57" s="66">
        <f t="shared" si="2"/>
        <v>0.6329113924</v>
      </c>
      <c r="I57" s="66">
        <f t="shared" si="3"/>
        <v>0.2278481013</v>
      </c>
      <c r="J57" s="66">
        <f t="shared" si="4"/>
        <v>0.1075949367</v>
      </c>
      <c r="K57" s="67">
        <f t="shared" si="5"/>
        <v>0.03164556962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15.0" customHeight="1">
      <c r="A58" s="54" t="s">
        <v>121</v>
      </c>
      <c r="B58" s="63" t="str">
        <f t="array" ref="B58">IFERROR(xlookup(A58,Cards!A$3:A$61,Cards!C$3:C$61,""),"")</f>
        <v>Dr.Hogbackd</v>
      </c>
      <c r="C58" s="56">
        <v>30.0</v>
      </c>
      <c r="D58" s="64" t="str">
        <f t="shared" si="1"/>
        <v>Low Pop - Caution</v>
      </c>
      <c r="E58" s="68">
        <v>20.0</v>
      </c>
      <c r="F58" s="68">
        <v>6.0</v>
      </c>
      <c r="G58" s="68">
        <v>4.0</v>
      </c>
      <c r="H58" s="66">
        <f t="shared" si="2"/>
        <v>0.6666666667</v>
      </c>
      <c r="I58" s="66">
        <f t="shared" si="3"/>
        <v>0.2</v>
      </c>
      <c r="J58" s="66">
        <f t="shared" si="4"/>
        <v>0.1333333333</v>
      </c>
      <c r="K58" s="67">
        <f t="shared" si="5"/>
        <v>0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15.0" customHeight="1">
      <c r="A59" s="49" t="s">
        <v>123</v>
      </c>
      <c r="B59" s="63" t="str">
        <f t="array" ref="B59">IFERROR(xlookup(A59,Cards!A$3:A$61,Cards!C$3:C$61,""),"")</f>
        <v>Makino</v>
      </c>
      <c r="C59" s="51">
        <v>74.0</v>
      </c>
      <c r="D59" s="64" t="str">
        <f t="shared" si="1"/>
        <v>Yes</v>
      </c>
      <c r="E59" s="65">
        <v>55.0</v>
      </c>
      <c r="F59" s="65">
        <v>8.0</v>
      </c>
      <c r="G59" s="65">
        <v>10.0</v>
      </c>
      <c r="H59" s="66">
        <f t="shared" si="2"/>
        <v>0.7432432432</v>
      </c>
      <c r="I59" s="66">
        <f t="shared" si="3"/>
        <v>0.1081081081</v>
      </c>
      <c r="J59" s="66">
        <f t="shared" si="4"/>
        <v>0.1351351351</v>
      </c>
      <c r="K59" s="67">
        <f t="shared" si="5"/>
        <v>0.01351351351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ht="15.0" customHeight="1">
      <c r="A60" s="54" t="s">
        <v>125</v>
      </c>
      <c r="B60" s="63" t="str">
        <f t="array" ref="B60">IFERROR(xlookup(A60,Cards!A$3:A$61,Cards!C$3:C$61,""),"")</f>
        <v>Baby 5</v>
      </c>
      <c r="C60" s="56">
        <v>57.0</v>
      </c>
      <c r="D60" s="64" t="str">
        <f t="shared" si="1"/>
        <v>Yes</v>
      </c>
      <c r="E60" s="68">
        <v>44.0</v>
      </c>
      <c r="F60" s="68">
        <v>10.0</v>
      </c>
      <c r="G60" s="68">
        <v>1.0</v>
      </c>
      <c r="H60" s="66">
        <f t="shared" si="2"/>
        <v>0.7719298246</v>
      </c>
      <c r="I60" s="66">
        <f t="shared" si="3"/>
        <v>0.1754385965</v>
      </c>
      <c r="J60" s="66">
        <f t="shared" si="4"/>
        <v>0.01754385965</v>
      </c>
      <c r="K60" s="67">
        <f t="shared" si="5"/>
        <v>0.0350877193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ht="15.0" customHeight="1">
      <c r="A61" s="49" t="s">
        <v>127</v>
      </c>
      <c r="B61" s="63" t="str">
        <f t="array" ref="B61">IFERROR(xlookup(A61,Cards!A$3:A$61,Cards!C$3:C$61,""),"")</f>
        <v>Ryuma</v>
      </c>
      <c r="C61" s="51">
        <v>324.0</v>
      </c>
      <c r="D61" s="64" t="str">
        <f t="shared" si="1"/>
        <v>Yes</v>
      </c>
      <c r="E61" s="65">
        <v>203.0</v>
      </c>
      <c r="F61" s="65">
        <v>96.0</v>
      </c>
      <c r="G61" s="65">
        <v>19.0</v>
      </c>
      <c r="H61" s="66">
        <f t="shared" si="2"/>
        <v>0.6265432099</v>
      </c>
      <c r="I61" s="66">
        <f t="shared" si="3"/>
        <v>0.2962962963</v>
      </c>
      <c r="J61" s="66">
        <f t="shared" si="4"/>
        <v>0.05864197531</v>
      </c>
      <c r="K61" s="67">
        <f t="shared" si="5"/>
        <v>0.01851851852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</row>
  </sheetData>
  <mergeCells count="2">
    <mergeCell ref="A1:B1"/>
    <mergeCell ref="C1:J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4" width="13.0"/>
    <col customWidth="1" min="5" max="6" width="14.0"/>
    <col customWidth="1" min="7" max="8" width="8.71"/>
  </cols>
  <sheetData>
    <row r="1" ht="30.0" customHeight="1">
      <c r="A1" s="44" t="s">
        <v>160</v>
      </c>
      <c r="B1" s="46"/>
      <c r="C1" s="69"/>
      <c r="D1" s="69" t="s">
        <v>173</v>
      </c>
      <c r="E1" s="69"/>
      <c r="F1" s="69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ht="43.5" customHeight="1">
      <c r="A2" s="47" t="s">
        <v>0</v>
      </c>
      <c r="B2" s="47" t="s">
        <v>174</v>
      </c>
      <c r="C2" s="62" t="s">
        <v>175</v>
      </c>
      <c r="D2" s="70" t="s">
        <v>176</v>
      </c>
      <c r="E2" s="48" t="s">
        <v>177</v>
      </c>
      <c r="F2" s="47" t="s">
        <v>178</v>
      </c>
      <c r="G2" s="61" t="s">
        <v>179</v>
      </c>
      <c r="H2" s="61" t="s">
        <v>180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ht="15.0" customHeight="1">
      <c r="A3" s="49" t="s">
        <v>31</v>
      </c>
      <c r="B3" s="63" t="str">
        <f t="array" ref="B3">IFERROR(xlookup(A3,Cards!A$3:A$61,Cards!C$3:C$61,""),"")</f>
        <v>Monkey.D.Luffy</v>
      </c>
      <c r="C3" s="52">
        <v>17.39</v>
      </c>
      <c r="D3" s="52">
        <v>35.0</v>
      </c>
      <c r="E3" s="52">
        <v>70.0</v>
      </c>
      <c r="F3" s="52">
        <v>155.0</v>
      </c>
      <c r="G3" s="49" t="s">
        <v>36</v>
      </c>
      <c r="H3" s="71">
        <v>46185.0</v>
      </c>
      <c r="I3" s="17"/>
      <c r="J3" s="17"/>
      <c r="K3" s="58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15.0" customHeight="1">
      <c r="A4" s="54" t="s">
        <v>37</v>
      </c>
      <c r="B4" s="63" t="str">
        <f t="array" ref="B4">IFERROR(xlookup(A4,Cards!A$3:A$61,Cards!C$3:C$61,""),"")</f>
        <v>Roronoa Zoro</v>
      </c>
      <c r="C4" s="52">
        <v>17.39</v>
      </c>
      <c r="D4" s="57">
        <v>30.0</v>
      </c>
      <c r="E4" s="57">
        <v>54.0</v>
      </c>
      <c r="F4" s="57">
        <v>90.0</v>
      </c>
      <c r="G4" s="49" t="s">
        <v>36</v>
      </c>
      <c r="H4" s="71">
        <v>46185.0</v>
      </c>
      <c r="I4" s="17"/>
      <c r="J4" s="17"/>
      <c r="K4" s="58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15.0" customHeight="1">
      <c r="A5" s="49" t="s">
        <v>39</v>
      </c>
      <c r="B5" s="63" t="str">
        <f t="array" ref="B5">IFERROR(xlookup(A5,Cards!A$3:A$61,Cards!C$3:C$61,""),"")</f>
        <v>Nami</v>
      </c>
      <c r="C5" s="52">
        <v>17.39</v>
      </c>
      <c r="D5" s="52">
        <v>30.0</v>
      </c>
      <c r="E5" s="52">
        <v>40.0</v>
      </c>
      <c r="F5" s="52">
        <v>100.0</v>
      </c>
      <c r="G5" s="49" t="s">
        <v>36</v>
      </c>
      <c r="H5" s="71">
        <v>46185.0</v>
      </c>
      <c r="I5" s="17"/>
      <c r="J5" s="17"/>
      <c r="K5" s="58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15.0" customHeight="1">
      <c r="A6" s="54" t="s">
        <v>41</v>
      </c>
      <c r="B6" s="63" t="str">
        <f t="array" ref="B6">IFERROR(xlookup(A6,Cards!A$3:A$61,Cards!C$3:C$61,""),"")</f>
        <v>Nico Robin</v>
      </c>
      <c r="C6" s="52">
        <v>17.39</v>
      </c>
      <c r="D6" s="57">
        <v>20.0</v>
      </c>
      <c r="E6" s="57">
        <v>30.0</v>
      </c>
      <c r="F6" s="57">
        <v>90.0</v>
      </c>
      <c r="G6" s="49" t="s">
        <v>36</v>
      </c>
      <c r="H6" s="71">
        <v>46185.0</v>
      </c>
      <c r="I6" s="17"/>
      <c r="J6" s="17"/>
      <c r="K6" s="5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15.0" customHeight="1">
      <c r="A7" s="49" t="s">
        <v>43</v>
      </c>
      <c r="B7" s="63" t="str">
        <f t="array" ref="B7">IFERROR(xlookup(A7,Cards!A$3:A$61,Cards!C$3:C$61,""),"")</f>
        <v>Tony Tony Chopper</v>
      </c>
      <c r="C7" s="52">
        <v>17.39</v>
      </c>
      <c r="D7" s="52">
        <v>27.0</v>
      </c>
      <c r="E7" s="52">
        <v>60.0</v>
      </c>
      <c r="F7" s="52">
        <v>120.0</v>
      </c>
      <c r="G7" s="49" t="s">
        <v>36</v>
      </c>
      <c r="H7" s="71">
        <v>46185.0</v>
      </c>
      <c r="I7" s="17"/>
      <c r="J7" s="17"/>
      <c r="K7" s="58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15.0" customHeight="1">
      <c r="A8" s="54" t="s">
        <v>45</v>
      </c>
      <c r="B8" s="63" t="str">
        <f t="array" ref="B8">IFERROR(xlookup(A8,Cards!A$3:A$61,Cards!C$3:C$61,""),"")</f>
        <v>Sanji</v>
      </c>
      <c r="C8" s="52">
        <v>17.39</v>
      </c>
      <c r="D8" s="57">
        <v>20.0</v>
      </c>
      <c r="E8" s="57">
        <v>30.0</v>
      </c>
      <c r="F8" s="57">
        <v>60.0</v>
      </c>
      <c r="G8" s="49" t="s">
        <v>36</v>
      </c>
      <c r="H8" s="71">
        <v>46185.0</v>
      </c>
      <c r="I8" s="17"/>
      <c r="J8" s="17"/>
      <c r="K8" s="58"/>
      <c r="L8" s="58"/>
      <c r="M8" s="17"/>
      <c r="N8" s="58"/>
      <c r="O8" s="17"/>
      <c r="P8" s="17"/>
      <c r="Q8" s="17"/>
      <c r="R8" s="17"/>
      <c r="S8" s="17"/>
      <c r="T8" s="17"/>
      <c r="U8" s="17"/>
      <c r="V8" s="17"/>
      <c r="W8" s="17"/>
    </row>
    <row r="9" ht="15.0" customHeight="1">
      <c r="A9" s="49" t="s">
        <v>47</v>
      </c>
      <c r="B9" s="63" t="str">
        <f t="array" ref="B9">IFERROR(xlookup(A9,Cards!A$3:A$61,Cards!C$3:C$61,""),"")</f>
        <v>Brook</v>
      </c>
      <c r="C9" s="52">
        <v>17.39</v>
      </c>
      <c r="D9" s="52">
        <v>20.0</v>
      </c>
      <c r="E9" s="52">
        <v>25.0</v>
      </c>
      <c r="F9" s="52">
        <v>60.0</v>
      </c>
      <c r="G9" s="49" t="s">
        <v>36</v>
      </c>
      <c r="H9" s="71">
        <v>46185.0</v>
      </c>
      <c r="I9" s="17"/>
      <c r="J9" s="17"/>
      <c r="K9" s="58"/>
      <c r="L9" s="58"/>
      <c r="M9" s="17"/>
      <c r="N9" s="58"/>
      <c r="O9" s="17"/>
      <c r="P9" s="17"/>
      <c r="Q9" s="17"/>
      <c r="R9" s="17"/>
      <c r="S9" s="17"/>
      <c r="T9" s="17"/>
      <c r="U9" s="17"/>
      <c r="V9" s="17"/>
      <c r="W9" s="17"/>
    </row>
    <row r="10" ht="15.0" customHeight="1">
      <c r="A10" s="54" t="s">
        <v>49</v>
      </c>
      <c r="B10" s="63" t="str">
        <f t="array" ref="B10">IFERROR(xlookup(A10,Cards!A$3:A$61,Cards!C$3:C$61,""),"")</f>
        <v>Jinbe</v>
      </c>
      <c r="C10" s="52">
        <v>17.39</v>
      </c>
      <c r="D10" s="57">
        <v>20.0</v>
      </c>
      <c r="E10" s="57">
        <v>30.0</v>
      </c>
      <c r="F10" s="57">
        <v>65.0</v>
      </c>
      <c r="G10" s="49" t="s">
        <v>36</v>
      </c>
      <c r="H10" s="71">
        <v>46185.0</v>
      </c>
      <c r="I10" s="17"/>
      <c r="J10" s="17"/>
      <c r="K10" s="72"/>
      <c r="L10" s="58"/>
      <c r="M10" s="17"/>
      <c r="N10" s="58"/>
      <c r="O10" s="17"/>
      <c r="P10" s="17"/>
      <c r="Q10" s="17"/>
      <c r="R10" s="17"/>
      <c r="S10" s="17"/>
      <c r="T10" s="17"/>
      <c r="U10" s="17"/>
      <c r="V10" s="17"/>
      <c r="W10" s="17"/>
    </row>
    <row r="11" ht="15.0" customHeight="1">
      <c r="A11" s="49" t="s">
        <v>51</v>
      </c>
      <c r="B11" s="63" t="str">
        <f t="array" ref="B11">IFERROR(xlookup(A11,Cards!A$3:A$61,Cards!C$3:C$61,""),"")</f>
        <v>Franky</v>
      </c>
      <c r="C11" s="52">
        <v>17.39</v>
      </c>
      <c r="D11" s="52">
        <v>20.0</v>
      </c>
      <c r="E11" s="52">
        <v>20.0</v>
      </c>
      <c r="F11" s="52">
        <v>40.0</v>
      </c>
      <c r="G11" s="49" t="s">
        <v>36</v>
      </c>
      <c r="H11" s="71">
        <v>46185.0</v>
      </c>
      <c r="I11" s="17"/>
      <c r="J11" s="17"/>
      <c r="K11" s="72"/>
      <c r="L11" s="58"/>
      <c r="M11" s="17"/>
      <c r="N11" s="58"/>
      <c r="O11" s="17"/>
      <c r="P11" s="17"/>
      <c r="Q11" s="17"/>
      <c r="R11" s="17"/>
      <c r="S11" s="17"/>
      <c r="T11" s="17"/>
      <c r="U11" s="17"/>
      <c r="V11" s="17"/>
      <c r="W11" s="17"/>
    </row>
    <row r="12" ht="15.0" customHeight="1">
      <c r="A12" s="54" t="s">
        <v>53</v>
      </c>
      <c r="B12" s="63" t="str">
        <f t="array" ref="B12">IFERROR(xlookup(A12,Cards!A$3:A$61,Cards!C$3:C$61,""),"")</f>
        <v>Usopp</v>
      </c>
      <c r="C12" s="52">
        <v>17.39</v>
      </c>
      <c r="D12" s="57">
        <v>20.0</v>
      </c>
      <c r="E12" s="57">
        <v>22.0</v>
      </c>
      <c r="F12" s="57">
        <v>40.0</v>
      </c>
      <c r="G12" s="49" t="s">
        <v>36</v>
      </c>
      <c r="H12" s="71">
        <v>46185.0</v>
      </c>
      <c r="I12" s="17"/>
      <c r="J12" s="17"/>
      <c r="K12" s="72"/>
      <c r="L12" s="58"/>
      <c r="M12" s="17"/>
      <c r="N12" s="58"/>
      <c r="O12" s="17"/>
      <c r="P12" s="17"/>
      <c r="Q12" s="17"/>
      <c r="R12" s="17"/>
      <c r="S12" s="17"/>
      <c r="T12" s="17"/>
      <c r="U12" s="17"/>
      <c r="V12" s="17"/>
      <c r="W12" s="17"/>
    </row>
    <row r="13" ht="15.0" customHeight="1">
      <c r="A13" s="49" t="s">
        <v>55</v>
      </c>
      <c r="B13" s="63" t="str">
        <f t="array" ref="B13">IFERROR(xlookup(A13,Cards!A$3:A$61,Cards!C$3:C$61,""),"")</f>
        <v>Monkey.D.Luffy</v>
      </c>
      <c r="C13" s="52">
        <v>19.97</v>
      </c>
      <c r="D13" s="52">
        <v>20.0</v>
      </c>
      <c r="E13" s="52">
        <v>120.0</v>
      </c>
      <c r="F13" s="52">
        <v>160.0</v>
      </c>
      <c r="G13" s="49" t="s">
        <v>36</v>
      </c>
      <c r="H13" s="71">
        <v>46185.0</v>
      </c>
      <c r="I13" s="17"/>
      <c r="J13" s="17"/>
      <c r="K13" s="72"/>
      <c r="L13" s="58"/>
      <c r="M13" s="17"/>
      <c r="N13" s="58"/>
      <c r="O13" s="17"/>
      <c r="P13" s="17"/>
      <c r="Q13" s="17"/>
      <c r="R13" s="17"/>
      <c r="S13" s="17"/>
      <c r="T13" s="17"/>
      <c r="U13" s="17"/>
      <c r="V13" s="17"/>
      <c r="W13" s="17"/>
    </row>
    <row r="14" ht="15.0" customHeight="1">
      <c r="A14" s="54" t="s">
        <v>57</v>
      </c>
      <c r="B14" s="63" t="str">
        <f t="array" ref="B14">IFERROR(xlookup(A14,Cards!A$3:A$61,Cards!C$3:C$61,""),"")</f>
        <v>Tony Tony Chopper</v>
      </c>
      <c r="C14" s="52">
        <v>19.97</v>
      </c>
      <c r="D14" s="57">
        <v>20.0</v>
      </c>
      <c r="E14" s="57">
        <v>45.0</v>
      </c>
      <c r="F14" s="57">
        <v>96.0</v>
      </c>
      <c r="G14" s="49" t="s">
        <v>36</v>
      </c>
      <c r="H14" s="71">
        <v>46185.0</v>
      </c>
      <c r="I14" s="17"/>
      <c r="J14" s="43"/>
      <c r="K14" s="72"/>
      <c r="L14" s="72"/>
      <c r="M14" s="43"/>
      <c r="N14" s="72"/>
      <c r="O14" s="43"/>
      <c r="P14" s="43"/>
      <c r="Q14" s="43"/>
      <c r="R14" s="17"/>
      <c r="S14" s="17"/>
      <c r="T14" s="17"/>
      <c r="U14" s="17"/>
      <c r="V14" s="17"/>
      <c r="W14" s="17"/>
    </row>
    <row r="15" ht="15.0" customHeight="1">
      <c r="A15" s="49" t="s">
        <v>58</v>
      </c>
      <c r="B15" s="63" t="str">
        <f t="array" ref="B15">IFERROR(xlookup(A15,Cards!A$3:A$61,Cards!C$3:C$61,""),"")</f>
        <v>Enel</v>
      </c>
      <c r="C15" s="52">
        <v>19.97</v>
      </c>
      <c r="D15" s="52">
        <v>20.0</v>
      </c>
      <c r="E15" s="52">
        <v>50.0</v>
      </c>
      <c r="F15" s="52">
        <v>65.0</v>
      </c>
      <c r="G15" s="49" t="s">
        <v>36</v>
      </c>
      <c r="H15" s="71">
        <v>46185.0</v>
      </c>
      <c r="I15" s="17"/>
      <c r="J15" s="43"/>
      <c r="K15" s="72"/>
      <c r="L15" s="72"/>
      <c r="M15" s="43"/>
      <c r="N15" s="72"/>
      <c r="O15" s="43"/>
      <c r="P15" s="43"/>
      <c r="Q15" s="43"/>
      <c r="R15" s="17"/>
      <c r="S15" s="17"/>
      <c r="T15" s="17"/>
      <c r="U15" s="17"/>
      <c r="V15" s="17"/>
      <c r="W15" s="17"/>
    </row>
    <row r="16" ht="15.0" customHeight="1">
      <c r="A16" s="54" t="s">
        <v>60</v>
      </c>
      <c r="B16" s="63" t="str">
        <f t="array" ref="B16">IFERROR(xlookup(A16,Cards!A$3:A$61,Cards!C$3:C$61,""),"")</f>
        <v>Usopp</v>
      </c>
      <c r="C16" s="52">
        <v>19.97</v>
      </c>
      <c r="D16" s="57">
        <v>20.0</v>
      </c>
      <c r="E16" s="57">
        <v>40.0</v>
      </c>
      <c r="F16" s="57">
        <v>69.0</v>
      </c>
      <c r="G16" s="49" t="s">
        <v>36</v>
      </c>
      <c r="H16" s="71">
        <v>46185.0</v>
      </c>
      <c r="I16" s="17"/>
      <c r="J16" s="43"/>
      <c r="K16" s="72"/>
      <c r="L16" s="72"/>
      <c r="M16" s="43"/>
      <c r="N16" s="72"/>
      <c r="O16" s="43"/>
      <c r="P16" s="43"/>
      <c r="Q16" s="43"/>
      <c r="R16" s="17"/>
      <c r="S16" s="17"/>
      <c r="T16" s="17"/>
      <c r="U16" s="17"/>
      <c r="V16" s="17"/>
      <c r="W16" s="17"/>
    </row>
    <row r="17" ht="15.0" customHeight="1">
      <c r="A17" s="49" t="s">
        <v>61</v>
      </c>
      <c r="B17" s="63" t="str">
        <f t="array" ref="B17">IFERROR(xlookup(A17,Cards!A$3:A$61,Cards!C$3:C$61,""),"")</f>
        <v>Perona</v>
      </c>
      <c r="C17" s="52">
        <v>19.97</v>
      </c>
      <c r="D17" s="52">
        <v>20.0</v>
      </c>
      <c r="E17" s="52">
        <v>21.0</v>
      </c>
      <c r="F17" s="52">
        <v>66.0</v>
      </c>
      <c r="G17" s="49" t="s">
        <v>36</v>
      </c>
      <c r="H17" s="71">
        <v>46185.0</v>
      </c>
      <c r="I17" s="17"/>
      <c r="J17" s="43"/>
      <c r="K17" s="72"/>
      <c r="L17" s="72"/>
      <c r="M17" s="43"/>
      <c r="N17" s="72"/>
      <c r="O17" s="43"/>
      <c r="P17" s="43"/>
      <c r="Q17" s="43"/>
      <c r="R17" s="17"/>
      <c r="S17" s="17"/>
      <c r="T17" s="17"/>
      <c r="U17" s="17"/>
      <c r="V17" s="17"/>
      <c r="W17" s="17"/>
    </row>
    <row r="18" ht="15.0" customHeight="1">
      <c r="A18" s="54" t="s">
        <v>63</v>
      </c>
      <c r="B18" s="63" t="str">
        <f t="array" ref="B18">IFERROR(xlookup(A18,Cards!A$3:A$61,Cards!C$3:C$61,""),"")</f>
        <v>Sugar</v>
      </c>
      <c r="C18" s="52">
        <v>19.97</v>
      </c>
      <c r="D18" s="57">
        <v>20.0</v>
      </c>
      <c r="E18" s="57">
        <v>28.0</v>
      </c>
      <c r="F18" s="57">
        <v>60.0</v>
      </c>
      <c r="G18" s="49" t="s">
        <v>36</v>
      </c>
      <c r="H18" s="71">
        <v>46185.0</v>
      </c>
      <c r="I18" s="17"/>
      <c r="J18" s="43"/>
      <c r="K18" s="43"/>
      <c r="L18" s="73"/>
      <c r="M18" s="72"/>
      <c r="N18" s="43"/>
      <c r="O18" s="73"/>
      <c r="P18" s="72"/>
      <c r="Q18" s="73"/>
      <c r="R18" s="17"/>
      <c r="S18" s="17"/>
      <c r="T18" s="17"/>
      <c r="U18" s="17"/>
      <c r="V18" s="17"/>
      <c r="W18" s="17"/>
    </row>
    <row r="19" ht="15.0" customHeight="1">
      <c r="A19" s="49" t="s">
        <v>65</v>
      </c>
      <c r="B19" s="63" t="str">
        <f t="array" ref="B19">IFERROR(xlookup(A19,Cards!A$3:A$61,Cards!C$3:C$61,""),"")</f>
        <v>Monkey.D.Luffy</v>
      </c>
      <c r="C19" s="52">
        <v>29.08</v>
      </c>
      <c r="D19" s="57">
        <v>120.0</v>
      </c>
      <c r="E19" s="74">
        <v>220.0</v>
      </c>
      <c r="F19" s="57">
        <v>680.0</v>
      </c>
      <c r="G19" s="49" t="s">
        <v>36</v>
      </c>
      <c r="H19" s="71">
        <v>46185.0</v>
      </c>
      <c r="I19" s="17"/>
      <c r="J19" s="43"/>
      <c r="K19" s="43"/>
      <c r="L19" s="73"/>
      <c r="M19" s="72"/>
      <c r="N19" s="43"/>
      <c r="O19" s="73"/>
      <c r="P19" s="72"/>
      <c r="Q19" s="73"/>
      <c r="R19" s="17"/>
      <c r="S19" s="17"/>
      <c r="T19" s="17"/>
      <c r="U19" s="17"/>
      <c r="V19" s="17"/>
      <c r="W19" s="17"/>
    </row>
    <row r="20" ht="15.0" customHeight="1">
      <c r="A20" s="49" t="s">
        <v>67</v>
      </c>
      <c r="B20" s="63" t="str">
        <f t="array" ref="B20">IFERROR(xlookup(A20,Cards!A$3:A$61,Cards!C$3:C$61,""),"")</f>
        <v>Tony Tony Chopper</v>
      </c>
      <c r="C20" s="52">
        <v>29.08</v>
      </c>
      <c r="D20" s="52">
        <v>42.0</v>
      </c>
      <c r="E20" s="52">
        <v>110.0</v>
      </c>
      <c r="F20" s="52">
        <v>220.0</v>
      </c>
      <c r="G20" s="49" t="s">
        <v>36</v>
      </c>
      <c r="H20" s="71">
        <v>46185.0</v>
      </c>
      <c r="I20" s="17"/>
      <c r="J20" s="43"/>
      <c r="K20" s="43"/>
      <c r="L20" s="73"/>
      <c r="M20" s="72"/>
      <c r="N20" s="43"/>
      <c r="O20" s="73"/>
      <c r="P20" s="72"/>
      <c r="Q20" s="73"/>
      <c r="R20" s="17"/>
      <c r="S20" s="17"/>
      <c r="T20" s="17"/>
      <c r="U20" s="17"/>
      <c r="V20" s="17"/>
      <c r="W20" s="17"/>
    </row>
    <row r="21" ht="15.0" customHeight="1">
      <c r="A21" s="49" t="s">
        <v>68</v>
      </c>
      <c r="B21" s="63" t="str">
        <f t="array" ref="B21">IFERROR(xlookup(A21,Cards!A$3:A$61,Cards!C$3:C$61,""),"")</f>
        <v>Nami</v>
      </c>
      <c r="C21" s="52">
        <v>29.08</v>
      </c>
      <c r="D21" s="57">
        <v>38.0</v>
      </c>
      <c r="E21" s="57">
        <v>150.0</v>
      </c>
      <c r="F21" s="57">
        <v>202.0</v>
      </c>
      <c r="G21" s="49" t="s">
        <v>36</v>
      </c>
      <c r="H21" s="71">
        <v>46185.0</v>
      </c>
      <c r="I21" s="17"/>
      <c r="J21" s="43"/>
      <c r="K21" s="43"/>
      <c r="L21" s="73"/>
      <c r="M21" s="72"/>
      <c r="N21" s="43"/>
      <c r="O21" s="73"/>
      <c r="P21" s="72"/>
      <c r="Q21" s="73"/>
      <c r="R21" s="17"/>
      <c r="S21" s="17"/>
      <c r="T21" s="17"/>
      <c r="U21" s="17"/>
      <c r="V21" s="17"/>
      <c r="W21" s="17"/>
    </row>
    <row r="22" ht="15.0" customHeight="1">
      <c r="A22" s="49" t="s">
        <v>69</v>
      </c>
      <c r="B22" s="63" t="str">
        <f t="array" ref="B22">IFERROR(xlookup(A22,Cards!A$3:A$61,Cards!C$3:C$61,""),"")</f>
        <v>Roronoa Zoro</v>
      </c>
      <c r="C22" s="52">
        <v>29.08</v>
      </c>
      <c r="D22" s="52">
        <v>31.0</v>
      </c>
      <c r="E22" s="52">
        <v>152.0</v>
      </c>
      <c r="F22" s="52">
        <v>200.0</v>
      </c>
      <c r="G22" s="49" t="s">
        <v>36</v>
      </c>
      <c r="H22" s="71">
        <v>46185.0</v>
      </c>
      <c r="I22" s="17"/>
      <c r="J22" s="43"/>
      <c r="K22" s="43"/>
      <c r="L22" s="73"/>
      <c r="M22" s="72"/>
      <c r="N22" s="43"/>
      <c r="O22" s="73"/>
      <c r="P22" s="72"/>
      <c r="Q22" s="73"/>
      <c r="R22" s="17"/>
      <c r="S22" s="17"/>
      <c r="T22" s="17"/>
      <c r="U22" s="17"/>
      <c r="V22" s="17"/>
      <c r="W22" s="17"/>
    </row>
    <row r="23" ht="15.0" customHeight="1">
      <c r="A23" s="49" t="s">
        <v>70</v>
      </c>
      <c r="B23" s="63" t="str">
        <f t="array" ref="B23">IFERROR(xlookup(A23,Cards!A$3:A$61,Cards!C$3:C$61,""),"")</f>
        <v>Nico Robin</v>
      </c>
      <c r="C23" s="52">
        <v>29.08</v>
      </c>
      <c r="D23" s="57">
        <v>33.0</v>
      </c>
      <c r="E23" s="57">
        <v>75.0</v>
      </c>
      <c r="F23" s="57">
        <v>150.0</v>
      </c>
      <c r="G23" s="49" t="s">
        <v>36</v>
      </c>
      <c r="H23" s="71">
        <v>46185.0</v>
      </c>
      <c r="I23" s="17"/>
      <c r="J23" s="43"/>
      <c r="K23" s="43"/>
      <c r="L23" s="73"/>
      <c r="M23" s="72"/>
      <c r="N23" s="43"/>
      <c r="O23" s="73"/>
      <c r="P23" s="72"/>
      <c r="Q23" s="73"/>
      <c r="R23" s="17"/>
      <c r="S23" s="17"/>
      <c r="T23" s="17"/>
      <c r="U23" s="17"/>
      <c r="V23" s="17"/>
      <c r="W23" s="17"/>
    </row>
    <row r="24" ht="15.0" customHeight="1">
      <c r="A24" s="49" t="s">
        <v>71</v>
      </c>
      <c r="B24" s="63" t="str">
        <f t="array" ref="B24">IFERROR(xlookup(A24,Cards!A$3:A$61,Cards!C$3:C$61,""),"")</f>
        <v>Brook</v>
      </c>
      <c r="C24" s="52">
        <v>29.08</v>
      </c>
      <c r="D24" s="52">
        <v>24.0</v>
      </c>
      <c r="E24" s="52">
        <v>50.0</v>
      </c>
      <c r="F24" s="52">
        <v>100.0</v>
      </c>
      <c r="G24" s="49" t="s">
        <v>36</v>
      </c>
      <c r="H24" s="71">
        <v>46185.0</v>
      </c>
      <c r="I24" s="17"/>
      <c r="J24" s="43"/>
      <c r="K24" s="43"/>
      <c r="L24" s="73"/>
      <c r="M24" s="72"/>
      <c r="N24" s="43"/>
      <c r="O24" s="73"/>
      <c r="P24" s="72"/>
      <c r="Q24" s="73"/>
      <c r="R24" s="17"/>
      <c r="S24" s="17"/>
      <c r="T24" s="17"/>
      <c r="U24" s="17"/>
      <c r="V24" s="17"/>
      <c r="W24" s="17"/>
    </row>
    <row r="25" ht="15.0" customHeight="1">
      <c r="A25" s="49" t="s">
        <v>72</v>
      </c>
      <c r="B25" s="63" t="str">
        <f t="array" ref="B25">IFERROR(xlookup(A25,Cards!A$3:A$61,Cards!C$3:C$61,""),"")</f>
        <v>Sanji</v>
      </c>
      <c r="C25" s="52">
        <v>29.08</v>
      </c>
      <c r="D25" s="57">
        <v>28.0</v>
      </c>
      <c r="E25" s="57">
        <v>61.0</v>
      </c>
      <c r="F25" s="57">
        <v>120.0</v>
      </c>
      <c r="G25" s="49" t="s">
        <v>36</v>
      </c>
      <c r="H25" s="71">
        <v>46185.0</v>
      </c>
      <c r="I25" s="17"/>
      <c r="J25" s="43"/>
      <c r="K25" s="43"/>
      <c r="L25" s="73"/>
      <c r="M25" s="72"/>
      <c r="N25" s="43"/>
      <c r="O25" s="73"/>
      <c r="P25" s="72"/>
      <c r="Q25" s="73"/>
      <c r="R25" s="17"/>
      <c r="S25" s="17"/>
      <c r="T25" s="17"/>
      <c r="U25" s="17"/>
      <c r="V25" s="17"/>
      <c r="W25" s="17"/>
    </row>
    <row r="26" ht="15.0" customHeight="1">
      <c r="A26" s="49" t="s">
        <v>73</v>
      </c>
      <c r="B26" s="63" t="str">
        <f t="array" ref="B26">IFERROR(xlookup(A26,Cards!A$3:A$61,Cards!C$3:C$61,""),"")</f>
        <v>Jinbe</v>
      </c>
      <c r="C26" s="52">
        <v>29.08</v>
      </c>
      <c r="D26" s="52">
        <v>22.0</v>
      </c>
      <c r="E26" s="52">
        <v>50.0</v>
      </c>
      <c r="F26" s="52">
        <v>100.0</v>
      </c>
      <c r="G26" s="49" t="s">
        <v>36</v>
      </c>
      <c r="H26" s="71">
        <v>46185.0</v>
      </c>
      <c r="I26" s="17"/>
      <c r="J26" s="43"/>
      <c r="K26" s="43"/>
      <c r="L26" s="73"/>
      <c r="M26" s="72"/>
      <c r="N26" s="43"/>
      <c r="O26" s="73"/>
      <c r="P26" s="72"/>
      <c r="Q26" s="73"/>
      <c r="R26" s="17"/>
      <c r="S26" s="17"/>
      <c r="T26" s="17"/>
      <c r="U26" s="17"/>
      <c r="V26" s="17"/>
      <c r="W26" s="17"/>
    </row>
    <row r="27" ht="15.0" customHeight="1">
      <c r="A27" s="49" t="s">
        <v>74</v>
      </c>
      <c r="B27" s="63" t="str">
        <f t="array" ref="B27">IFERROR(xlookup(A27,Cards!A$3:A$61,Cards!C$3:C$61,""),"")</f>
        <v>Franky</v>
      </c>
      <c r="C27" s="52">
        <v>29.08</v>
      </c>
      <c r="D27" s="57">
        <v>16.0</v>
      </c>
      <c r="E27" s="57">
        <v>50.0</v>
      </c>
      <c r="F27" s="57">
        <v>100.0</v>
      </c>
      <c r="G27" s="49" t="s">
        <v>36</v>
      </c>
      <c r="H27" s="71">
        <v>46185.0</v>
      </c>
      <c r="I27" s="17"/>
      <c r="J27" s="43"/>
      <c r="K27" s="43"/>
      <c r="L27" s="73"/>
      <c r="M27" s="72"/>
      <c r="N27" s="43"/>
      <c r="O27" s="73"/>
      <c r="P27" s="72"/>
      <c r="Q27" s="73"/>
      <c r="R27" s="17"/>
      <c r="S27" s="17"/>
      <c r="T27" s="17"/>
      <c r="U27" s="17"/>
      <c r="V27" s="17"/>
      <c r="W27" s="17"/>
    </row>
    <row r="28" ht="15.0" customHeight="1">
      <c r="A28" s="49" t="s">
        <v>75</v>
      </c>
      <c r="B28" s="63" t="str">
        <f t="array" ref="B28">IFERROR(xlookup(A28,Cards!A$3:A$61,Cards!C$3:C$61,""),"")</f>
        <v>Usopp</v>
      </c>
      <c r="C28" s="52">
        <v>29.08</v>
      </c>
      <c r="D28" s="52">
        <v>22.0</v>
      </c>
      <c r="E28" s="52">
        <v>45.0</v>
      </c>
      <c r="F28" s="52">
        <v>90.0</v>
      </c>
      <c r="G28" s="49" t="s">
        <v>36</v>
      </c>
      <c r="H28" s="71">
        <v>46185.0</v>
      </c>
      <c r="I28" s="17"/>
      <c r="J28" s="43"/>
      <c r="K28" s="43"/>
      <c r="L28" s="73"/>
      <c r="M28" s="72"/>
      <c r="N28" s="43"/>
      <c r="O28" s="73"/>
      <c r="P28" s="72"/>
      <c r="Q28" s="73"/>
      <c r="R28" s="17"/>
      <c r="S28" s="17"/>
      <c r="T28" s="17"/>
      <c r="U28" s="17"/>
      <c r="V28" s="17"/>
      <c r="W28" s="17"/>
    </row>
    <row r="29" ht="15.0" customHeight="1">
      <c r="A29" s="49" t="s">
        <v>76</v>
      </c>
      <c r="B29" s="63" t="str">
        <f t="array" ref="B29">IFERROR(xlookup(A29,Cards!A$3:A$61,Cards!C$3:C$61,""),"")</f>
        <v>Monkey.D.Luffy</v>
      </c>
      <c r="C29" s="52">
        <v>12.45</v>
      </c>
      <c r="D29" s="52">
        <v>12.45</v>
      </c>
      <c r="E29" s="52">
        <v>32.0</v>
      </c>
      <c r="F29" s="57">
        <v>65.0</v>
      </c>
      <c r="G29" s="49" t="s">
        <v>36</v>
      </c>
      <c r="H29" s="71">
        <v>46185.0</v>
      </c>
      <c r="I29" s="17"/>
      <c r="J29" s="43"/>
      <c r="K29" s="43"/>
      <c r="L29" s="73"/>
      <c r="M29" s="72"/>
      <c r="N29" s="43"/>
      <c r="O29" s="73"/>
      <c r="P29" s="72"/>
      <c r="Q29" s="73"/>
      <c r="R29" s="17"/>
      <c r="S29" s="17"/>
      <c r="T29" s="17"/>
      <c r="U29" s="17"/>
      <c r="V29" s="17"/>
      <c r="W29" s="17"/>
    </row>
    <row r="30" ht="15.0" customHeight="1">
      <c r="A30" s="54" t="s">
        <v>79</v>
      </c>
      <c r="B30" s="63" t="str">
        <f t="array" ref="B30">IFERROR(xlookup(A30,Cards!A$3:A$61,Cards!C$3:C$61,""),"")</f>
        <v>Monkey.D.Luffy</v>
      </c>
      <c r="C30" s="52">
        <v>12.45</v>
      </c>
      <c r="D30" s="52">
        <v>12.45</v>
      </c>
      <c r="E30" s="57">
        <v>30.0</v>
      </c>
      <c r="F30" s="57">
        <v>63.0</v>
      </c>
      <c r="G30" s="49" t="s">
        <v>36</v>
      </c>
      <c r="H30" s="71">
        <v>46185.0</v>
      </c>
      <c r="I30" s="17"/>
      <c r="J30" s="43"/>
      <c r="K30" s="43"/>
      <c r="L30" s="73"/>
      <c r="M30" s="72"/>
      <c r="N30" s="43"/>
      <c r="O30" s="73"/>
      <c r="P30" s="72"/>
      <c r="Q30" s="73"/>
      <c r="R30" s="17"/>
      <c r="S30" s="17"/>
      <c r="T30" s="17"/>
      <c r="U30" s="17"/>
      <c r="V30" s="17"/>
      <c r="W30" s="17"/>
    </row>
    <row r="31" ht="15.0" customHeight="1">
      <c r="A31" s="49" t="s">
        <v>80</v>
      </c>
      <c r="B31" s="63" t="str">
        <f t="array" ref="B31">IFERROR(xlookup(A31,Cards!A$3:A$61,Cards!C$3:C$61,""),"")</f>
        <v>Roronoa Zoro</v>
      </c>
      <c r="C31" s="52">
        <v>12.45</v>
      </c>
      <c r="D31" s="52">
        <v>12.45</v>
      </c>
      <c r="E31" s="52">
        <v>35.0</v>
      </c>
      <c r="F31" s="52">
        <v>72.0</v>
      </c>
      <c r="G31" s="49" t="s">
        <v>36</v>
      </c>
      <c r="H31" s="71">
        <v>46185.0</v>
      </c>
      <c r="I31" s="17"/>
      <c r="J31" s="43"/>
      <c r="K31" s="43"/>
      <c r="L31" s="73"/>
      <c r="M31" s="72"/>
      <c r="N31" s="43"/>
      <c r="O31" s="73"/>
      <c r="P31" s="72"/>
      <c r="Q31" s="73"/>
      <c r="R31" s="17"/>
      <c r="S31" s="17"/>
      <c r="T31" s="17"/>
      <c r="U31" s="17"/>
      <c r="V31" s="17"/>
      <c r="W31" s="17"/>
    </row>
    <row r="32" ht="15.0" customHeight="1">
      <c r="A32" s="54" t="s">
        <v>81</v>
      </c>
      <c r="B32" s="63" t="str">
        <f t="array" ref="B32">IFERROR(xlookup(A32,Cards!A$3:A$61,Cards!C$3:C$61,""),"")</f>
        <v>Nami</v>
      </c>
      <c r="C32" s="52">
        <v>12.45</v>
      </c>
      <c r="D32" s="52">
        <v>12.45</v>
      </c>
      <c r="E32" s="57">
        <v>55.0</v>
      </c>
      <c r="F32" s="57">
        <v>117.0</v>
      </c>
      <c r="G32" s="49" t="s">
        <v>36</v>
      </c>
      <c r="H32" s="71">
        <v>46185.0</v>
      </c>
      <c r="I32" s="17"/>
      <c r="J32" s="43"/>
      <c r="K32" s="43"/>
      <c r="L32" s="73"/>
      <c r="M32" s="72"/>
      <c r="N32" s="43"/>
      <c r="O32" s="73"/>
      <c r="P32" s="72"/>
      <c r="Q32" s="73"/>
      <c r="R32" s="17"/>
      <c r="S32" s="17"/>
      <c r="T32" s="17"/>
      <c r="U32" s="17"/>
      <c r="V32" s="17"/>
      <c r="W32" s="17"/>
    </row>
    <row r="33" ht="15.0" customHeight="1">
      <c r="A33" s="49" t="s">
        <v>82</v>
      </c>
      <c r="B33" s="63" t="str">
        <f t="array" ref="B33">IFERROR(xlookup(A33,Cards!A$3:A$61,Cards!C$3:C$61,""),"")</f>
        <v>Sanji</v>
      </c>
      <c r="C33" s="52">
        <v>12.45</v>
      </c>
      <c r="D33" s="52">
        <v>12.45</v>
      </c>
      <c r="E33" s="52">
        <v>22.0</v>
      </c>
      <c r="F33" s="52">
        <v>45.0</v>
      </c>
      <c r="G33" s="49" t="s">
        <v>36</v>
      </c>
      <c r="H33" s="71">
        <v>46185.0</v>
      </c>
      <c r="I33" s="17"/>
      <c r="J33" s="43"/>
      <c r="K33" s="43"/>
      <c r="L33" s="73"/>
      <c r="M33" s="72"/>
      <c r="N33" s="43"/>
      <c r="O33" s="73"/>
      <c r="P33" s="72"/>
      <c r="Q33" s="73"/>
      <c r="R33" s="17"/>
      <c r="S33" s="17"/>
      <c r="T33" s="17"/>
      <c r="U33" s="17"/>
      <c r="V33" s="17"/>
      <c r="W33" s="17"/>
    </row>
    <row r="34" ht="15.0" customHeight="1">
      <c r="A34" s="54" t="s">
        <v>83</v>
      </c>
      <c r="B34" s="63" t="str">
        <f t="array" ref="B34">IFERROR(xlookup(A34,Cards!A$3:A$61,Cards!C$3:C$61,""),"")</f>
        <v>Arlong</v>
      </c>
      <c r="C34" s="52">
        <v>12.45</v>
      </c>
      <c r="D34" s="52">
        <v>12.45</v>
      </c>
      <c r="E34" s="57">
        <v>22.0</v>
      </c>
      <c r="F34" s="57">
        <v>45.0</v>
      </c>
      <c r="G34" s="49" t="s">
        <v>36</v>
      </c>
      <c r="H34" s="71">
        <v>46185.0</v>
      </c>
      <c r="I34" s="17"/>
      <c r="J34" s="43"/>
      <c r="K34" s="43"/>
      <c r="L34" s="73"/>
      <c r="M34" s="72"/>
      <c r="N34" s="43"/>
      <c r="O34" s="73"/>
      <c r="P34" s="72"/>
      <c r="Q34" s="73"/>
      <c r="R34" s="17"/>
      <c r="S34" s="17"/>
      <c r="T34" s="17"/>
      <c r="U34" s="17"/>
      <c r="V34" s="17"/>
      <c r="W34" s="17"/>
    </row>
    <row r="35" ht="15.0" customHeight="1">
      <c r="A35" s="49" t="s">
        <v>85</v>
      </c>
      <c r="B35" s="63" t="str">
        <f t="array" ref="B35">IFERROR(xlookup(A35,Cards!A$3:A$61,Cards!C$3:C$61,""),"")</f>
        <v>Dracule Mihawk</v>
      </c>
      <c r="C35" s="52">
        <v>12.45</v>
      </c>
      <c r="D35" s="52">
        <v>12.45</v>
      </c>
      <c r="E35" s="52">
        <v>22.0</v>
      </c>
      <c r="F35" s="52">
        <v>45.0</v>
      </c>
      <c r="G35" s="49" t="s">
        <v>36</v>
      </c>
      <c r="H35" s="71">
        <v>46185.0</v>
      </c>
      <c r="I35" s="17"/>
      <c r="J35" s="43"/>
      <c r="K35" s="43"/>
      <c r="L35" s="73"/>
      <c r="M35" s="72"/>
      <c r="N35" s="43"/>
      <c r="O35" s="73"/>
      <c r="P35" s="72"/>
      <c r="Q35" s="73"/>
      <c r="R35" s="17"/>
      <c r="S35" s="17"/>
      <c r="T35" s="17"/>
      <c r="U35" s="17"/>
      <c r="V35" s="17"/>
      <c r="W35" s="17"/>
    </row>
    <row r="36" ht="15.0" customHeight="1">
      <c r="A36" s="54" t="s">
        <v>87</v>
      </c>
      <c r="B36" s="63" t="str">
        <f t="array" ref="B36">IFERROR(xlookup(A36,Cards!A$3:A$61,Cards!C$3:C$61,""),"")</f>
        <v>Usopp</v>
      </c>
      <c r="C36" s="52">
        <v>12.45</v>
      </c>
      <c r="D36" s="52">
        <v>12.45</v>
      </c>
      <c r="E36" s="57">
        <v>22.0</v>
      </c>
      <c r="F36" s="57">
        <v>45.0</v>
      </c>
      <c r="G36" s="49" t="s">
        <v>36</v>
      </c>
      <c r="H36" s="71">
        <v>46185.0</v>
      </c>
      <c r="I36" s="17"/>
      <c r="J36" s="43"/>
      <c r="K36" s="43"/>
      <c r="L36" s="73"/>
      <c r="M36" s="72"/>
      <c r="N36" s="43"/>
      <c r="O36" s="73"/>
      <c r="P36" s="72"/>
      <c r="Q36" s="73"/>
      <c r="R36" s="17"/>
      <c r="S36" s="17"/>
      <c r="T36" s="17"/>
      <c r="U36" s="17"/>
      <c r="V36" s="17"/>
      <c r="W36" s="17"/>
    </row>
    <row r="37" ht="15.0" customHeight="1">
      <c r="A37" s="49" t="s">
        <v>88</v>
      </c>
      <c r="B37" s="63" t="str">
        <f t="array" ref="B37">IFERROR(xlookup(A37,Cards!A$3:A$61,Cards!C$3:C$61,""),"")</f>
        <v>Shanks</v>
      </c>
      <c r="C37" s="52">
        <v>12.45</v>
      </c>
      <c r="D37" s="52">
        <v>12.45</v>
      </c>
      <c r="E37" s="52">
        <v>22.0</v>
      </c>
      <c r="F37" s="52">
        <v>45.0</v>
      </c>
      <c r="G37" s="49" t="s">
        <v>36</v>
      </c>
      <c r="H37" s="71">
        <v>46185.0</v>
      </c>
      <c r="I37" s="17"/>
      <c r="J37" s="43"/>
      <c r="K37" s="43"/>
      <c r="L37" s="73"/>
      <c r="M37" s="72"/>
      <c r="N37" s="43"/>
      <c r="O37" s="73"/>
      <c r="P37" s="72"/>
      <c r="Q37" s="73"/>
      <c r="R37" s="17"/>
      <c r="S37" s="17"/>
      <c r="T37" s="17"/>
      <c r="U37" s="17"/>
      <c r="V37" s="17"/>
      <c r="W37" s="17"/>
    </row>
    <row r="38" ht="15.0" customHeight="1">
      <c r="A38" s="54" t="s">
        <v>90</v>
      </c>
      <c r="B38" s="63" t="str">
        <f t="array" ref="B38">IFERROR(xlookup(A38,Cards!A$3:A$61,Cards!C$3:C$61,""),"")</f>
        <v>Monkey.D.Luffy</v>
      </c>
      <c r="C38" s="57">
        <v>29.45</v>
      </c>
      <c r="D38" s="57">
        <v>60.0</v>
      </c>
      <c r="E38" s="57">
        <v>100.0</v>
      </c>
      <c r="F38" s="57">
        <v>150.0</v>
      </c>
      <c r="G38" s="49" t="s">
        <v>36</v>
      </c>
      <c r="H38" s="71">
        <v>46185.0</v>
      </c>
      <c r="I38" s="17"/>
      <c r="J38" s="43"/>
      <c r="K38" s="43"/>
      <c r="L38" s="73"/>
      <c r="M38" s="72"/>
      <c r="N38" s="43"/>
      <c r="O38" s="73"/>
      <c r="P38" s="72"/>
      <c r="Q38" s="73"/>
      <c r="R38" s="17"/>
      <c r="S38" s="17"/>
      <c r="T38" s="17"/>
      <c r="U38" s="17"/>
      <c r="V38" s="17"/>
      <c r="W38" s="17"/>
    </row>
    <row r="39" ht="15.0" customHeight="1">
      <c r="A39" s="49" t="s">
        <v>92</v>
      </c>
      <c r="B39" s="63" t="str">
        <f t="array" ref="B39">IFERROR(xlookup(A39,Cards!A$3:A$61,Cards!C$3:C$61,""),"")</f>
        <v>Tony Tony Chopper</v>
      </c>
      <c r="C39" s="57">
        <v>29.45</v>
      </c>
      <c r="D39" s="52">
        <v>57.0</v>
      </c>
      <c r="E39" s="52">
        <v>65.0</v>
      </c>
      <c r="F39" s="52">
        <v>150.0</v>
      </c>
      <c r="G39" s="49" t="s">
        <v>36</v>
      </c>
      <c r="H39" s="71">
        <v>46185.0</v>
      </c>
      <c r="I39" s="17"/>
      <c r="J39" s="43"/>
      <c r="K39" s="43"/>
      <c r="L39" s="73"/>
      <c r="M39" s="72"/>
      <c r="N39" s="43"/>
      <c r="O39" s="73"/>
      <c r="P39" s="72"/>
      <c r="Q39" s="73"/>
      <c r="R39" s="17"/>
      <c r="S39" s="17"/>
      <c r="T39" s="17"/>
      <c r="U39" s="17"/>
      <c r="V39" s="17"/>
      <c r="W39" s="17"/>
    </row>
    <row r="40" ht="15.0" customHeight="1">
      <c r="A40" s="54" t="s">
        <v>93</v>
      </c>
      <c r="B40" s="63" t="str">
        <f t="array" ref="B40">IFERROR(xlookup(A40,Cards!A$3:A$61,Cards!C$3:C$61,""),"")</f>
        <v>Roronoa Zoro</v>
      </c>
      <c r="C40" s="57">
        <v>29.45</v>
      </c>
      <c r="D40" s="57">
        <v>50.0</v>
      </c>
      <c r="E40" s="57">
        <v>65.0</v>
      </c>
      <c r="F40" s="57">
        <v>140.0</v>
      </c>
      <c r="G40" s="49" t="s">
        <v>36</v>
      </c>
      <c r="H40" s="71">
        <v>46185.0</v>
      </c>
      <c r="I40" s="17"/>
      <c r="J40" s="43"/>
      <c r="K40" s="43"/>
      <c r="L40" s="73"/>
      <c r="M40" s="72"/>
      <c r="N40" s="43"/>
      <c r="O40" s="73"/>
      <c r="P40" s="72"/>
      <c r="Q40" s="73"/>
      <c r="R40" s="17"/>
      <c r="S40" s="17"/>
      <c r="T40" s="17"/>
      <c r="U40" s="17"/>
      <c r="V40" s="17"/>
      <c r="W40" s="17"/>
    </row>
    <row r="41" ht="15.0" customHeight="1">
      <c r="A41" s="49" t="s">
        <v>94</v>
      </c>
      <c r="B41" s="63" t="str">
        <f t="array" ref="B41">IFERROR(xlookup(A41,Cards!A$3:A$61,Cards!C$3:C$61,""),"")</f>
        <v>Nami</v>
      </c>
      <c r="C41" s="57">
        <v>29.45</v>
      </c>
      <c r="D41" s="52">
        <v>46.0</v>
      </c>
      <c r="E41" s="52">
        <v>60.0</v>
      </c>
      <c r="F41" s="52">
        <v>112.0</v>
      </c>
      <c r="G41" s="49" t="s">
        <v>36</v>
      </c>
      <c r="H41" s="71">
        <v>46185.0</v>
      </c>
      <c r="I41" s="17"/>
      <c r="J41" s="43"/>
      <c r="K41" s="43"/>
      <c r="L41" s="73"/>
      <c r="M41" s="72"/>
      <c r="N41" s="43"/>
      <c r="O41" s="73"/>
      <c r="P41" s="72"/>
      <c r="Q41" s="73"/>
      <c r="R41" s="17"/>
      <c r="S41" s="17"/>
      <c r="T41" s="17"/>
      <c r="U41" s="17"/>
      <c r="V41" s="17"/>
      <c r="W41" s="17"/>
    </row>
    <row r="42" ht="15.0" customHeight="1">
      <c r="A42" s="54" t="s">
        <v>95</v>
      </c>
      <c r="B42" s="63" t="str">
        <f t="array" ref="B42">IFERROR(xlookup(A42,Cards!A$3:A$61,Cards!C$3:C$61,""),"")</f>
        <v>Nico Robin</v>
      </c>
      <c r="C42" s="57">
        <v>29.45</v>
      </c>
      <c r="D42" s="57">
        <v>36.0</v>
      </c>
      <c r="E42" s="57">
        <v>60.0</v>
      </c>
      <c r="F42" s="57">
        <v>110.0</v>
      </c>
      <c r="G42" s="49" t="s">
        <v>36</v>
      </c>
      <c r="H42" s="71">
        <v>46185.0</v>
      </c>
      <c r="I42" s="17"/>
      <c r="J42" s="43"/>
      <c r="K42" s="43"/>
      <c r="L42" s="73"/>
      <c r="M42" s="72"/>
      <c r="N42" s="43"/>
      <c r="O42" s="73"/>
      <c r="P42" s="72"/>
      <c r="Q42" s="73"/>
      <c r="R42" s="17"/>
      <c r="S42" s="17"/>
      <c r="T42" s="17"/>
      <c r="U42" s="17"/>
      <c r="V42" s="17"/>
      <c r="W42" s="17"/>
    </row>
    <row r="43" ht="15.0" customHeight="1">
      <c r="A43" s="49" t="s">
        <v>96</v>
      </c>
      <c r="B43" s="63" t="str">
        <f t="array" ref="B43">IFERROR(xlookup(A43,Cards!A$3:A$61,Cards!C$3:C$61,""),"")</f>
        <v>Shanks</v>
      </c>
      <c r="C43" s="57">
        <v>29.45</v>
      </c>
      <c r="D43" s="52">
        <v>21.0</v>
      </c>
      <c r="E43" s="52">
        <v>45.0</v>
      </c>
      <c r="F43" s="52">
        <v>90.0</v>
      </c>
      <c r="G43" s="49" t="s">
        <v>36</v>
      </c>
      <c r="H43" s="71">
        <v>46185.0</v>
      </c>
      <c r="I43" s="17"/>
      <c r="J43" s="43"/>
      <c r="K43" s="43"/>
      <c r="L43" s="73"/>
      <c r="M43" s="72"/>
      <c r="N43" s="43"/>
      <c r="O43" s="73"/>
      <c r="P43" s="72"/>
      <c r="Q43" s="73"/>
      <c r="R43" s="17"/>
      <c r="S43" s="17"/>
      <c r="T43" s="17"/>
      <c r="U43" s="17"/>
      <c r="V43" s="17"/>
      <c r="W43" s="17"/>
    </row>
    <row r="44" ht="15.0" customHeight="1">
      <c r="A44" s="54" t="s">
        <v>97</v>
      </c>
      <c r="B44" s="63" t="str">
        <f t="array" ref="B44">IFERROR(xlookup(A44,Cards!A$3:A$61,Cards!C$3:C$61,""),"")</f>
        <v>Sanji</v>
      </c>
      <c r="C44" s="57">
        <v>29.45</v>
      </c>
      <c r="D44" s="57">
        <v>17.0</v>
      </c>
      <c r="E44" s="57">
        <v>40.0</v>
      </c>
      <c r="F44" s="57">
        <v>100.0</v>
      </c>
      <c r="G44" s="49" t="s">
        <v>36</v>
      </c>
      <c r="H44" s="71">
        <v>46185.0</v>
      </c>
      <c r="I44" s="17"/>
      <c r="J44" s="43"/>
      <c r="K44" s="43"/>
      <c r="L44" s="43"/>
      <c r="M44" s="72"/>
      <c r="N44" s="43"/>
      <c r="O44" s="43"/>
      <c r="P44" s="43"/>
      <c r="Q44" s="43"/>
      <c r="R44" s="17"/>
      <c r="S44" s="17"/>
      <c r="T44" s="17"/>
      <c r="U44" s="17"/>
      <c r="V44" s="17"/>
      <c r="W44" s="17"/>
    </row>
    <row r="45" ht="15.0" customHeight="1">
      <c r="A45" s="49" t="s">
        <v>98</v>
      </c>
      <c r="B45" s="63" t="str">
        <f t="array" ref="B45">IFERROR(xlookup(A45,Cards!A$3:A$61,Cards!C$3:C$61,""),"")</f>
        <v>Uta</v>
      </c>
      <c r="C45" s="57">
        <v>29.45</v>
      </c>
      <c r="D45" s="52">
        <v>17.0</v>
      </c>
      <c r="E45" s="52">
        <v>70.0</v>
      </c>
      <c r="F45" s="52">
        <v>150.0</v>
      </c>
      <c r="G45" s="49" t="s">
        <v>36</v>
      </c>
      <c r="H45" s="71">
        <v>46185.0</v>
      </c>
      <c r="I45" s="17"/>
      <c r="J45" s="43"/>
      <c r="K45" s="43"/>
      <c r="L45" s="43"/>
      <c r="M45" s="43"/>
      <c r="N45" s="43"/>
      <c r="O45" s="43"/>
      <c r="P45" s="43"/>
      <c r="Q45" s="43"/>
      <c r="R45" s="17"/>
      <c r="S45" s="17"/>
      <c r="T45" s="17"/>
      <c r="U45" s="17"/>
      <c r="V45" s="17"/>
      <c r="W45" s="17"/>
    </row>
    <row r="46" ht="15.0" customHeight="1">
      <c r="A46" s="54" t="s">
        <v>100</v>
      </c>
      <c r="B46" s="63" t="str">
        <f t="array" ref="B46">IFERROR(xlookup(A46,Cards!A$3:A$61,Cards!C$3:C$61,""),"")</f>
        <v>Brook</v>
      </c>
      <c r="C46" s="57">
        <v>29.45</v>
      </c>
      <c r="D46" s="57">
        <v>17.0</v>
      </c>
      <c r="E46" s="57">
        <v>38.0</v>
      </c>
      <c r="F46" s="57">
        <v>70.0</v>
      </c>
      <c r="G46" s="49" t="s">
        <v>36</v>
      </c>
      <c r="H46" s="71">
        <v>46185.0</v>
      </c>
      <c r="I46" s="17"/>
      <c r="J46" s="43"/>
      <c r="K46" s="43"/>
      <c r="L46" s="43"/>
      <c r="M46" s="43"/>
      <c r="N46" s="43"/>
      <c r="O46" s="43"/>
      <c r="P46" s="43"/>
      <c r="Q46" s="43"/>
      <c r="R46" s="17"/>
      <c r="S46" s="17"/>
      <c r="T46" s="17"/>
      <c r="U46" s="17"/>
      <c r="V46" s="17"/>
      <c r="W46" s="17"/>
    </row>
    <row r="47" ht="15.0" customHeight="1">
      <c r="A47" s="49" t="s">
        <v>101</v>
      </c>
      <c r="B47" s="63" t="str">
        <f t="array" ref="B47">IFERROR(xlookup(A47,Cards!A$3:A$61,Cards!C$3:C$61,""),"")</f>
        <v>Usopp</v>
      </c>
      <c r="C47" s="57">
        <v>29.45</v>
      </c>
      <c r="D47" s="52">
        <v>7.0</v>
      </c>
      <c r="E47" s="52">
        <v>50.0</v>
      </c>
      <c r="F47" s="52">
        <v>58.0</v>
      </c>
      <c r="G47" s="49" t="s">
        <v>36</v>
      </c>
      <c r="H47" s="71">
        <v>46185.0</v>
      </c>
      <c r="I47" s="17"/>
      <c r="J47" s="43"/>
      <c r="K47" s="43"/>
      <c r="L47" s="43"/>
      <c r="M47" s="43"/>
      <c r="N47" s="43"/>
      <c r="O47" s="43"/>
      <c r="P47" s="43"/>
      <c r="Q47" s="43"/>
      <c r="R47" s="17"/>
      <c r="S47" s="17"/>
      <c r="T47" s="17"/>
      <c r="U47" s="17"/>
      <c r="V47" s="17"/>
      <c r="W47" s="17"/>
    </row>
    <row r="48" ht="15.0" customHeight="1">
      <c r="A48" s="54" t="s">
        <v>102</v>
      </c>
      <c r="B48" s="63" t="str">
        <f t="array" ref="B48">IFERROR(xlookup(A48,Cards!A$3:A$61,Cards!C$3:C$61,""),"")</f>
        <v>Jinbe</v>
      </c>
      <c r="C48" s="57">
        <v>29.45</v>
      </c>
      <c r="D48" s="57">
        <v>6.0</v>
      </c>
      <c r="E48" s="57">
        <v>25.0</v>
      </c>
      <c r="F48" s="57">
        <v>50.0</v>
      </c>
      <c r="G48" s="49" t="s">
        <v>36</v>
      </c>
      <c r="H48" s="71">
        <v>46185.0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49" t="s">
        <v>103</v>
      </c>
      <c r="B49" s="63" t="str">
        <f t="array" ref="B49">IFERROR(xlookup(A49,Cards!A$3:A$61,Cards!C$3:C$61,""),"")</f>
        <v>Franky</v>
      </c>
      <c r="C49" s="57">
        <v>29.45</v>
      </c>
      <c r="D49" s="52">
        <v>5.0</v>
      </c>
      <c r="E49" s="52">
        <v>35.0</v>
      </c>
      <c r="F49" s="52">
        <v>45.0</v>
      </c>
      <c r="G49" s="49" t="s">
        <v>36</v>
      </c>
      <c r="H49" s="71">
        <v>46185.0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54" t="s">
        <v>104</v>
      </c>
      <c r="B50" s="63" t="str">
        <f t="array" ref="B50">IFERROR(xlookup(A50,Cards!A$3:A$61,Cards!C$3:C$61,""),"")</f>
        <v>Sabo</v>
      </c>
      <c r="C50" s="57">
        <v>8.22</v>
      </c>
      <c r="D50" s="57">
        <v>3.0</v>
      </c>
      <c r="E50" s="57">
        <v>15.0</v>
      </c>
      <c r="F50" s="57">
        <v>30.0</v>
      </c>
      <c r="G50" s="49" t="s">
        <v>36</v>
      </c>
      <c r="H50" s="71">
        <v>46185.0</v>
      </c>
      <c r="I50" s="17"/>
      <c r="J50" s="17"/>
      <c r="K50" s="17"/>
      <c r="L50" s="17"/>
      <c r="M50" s="17"/>
      <c r="N50" s="17"/>
      <c r="O50" s="58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49" t="s">
        <v>107</v>
      </c>
      <c r="B51" s="63" t="str">
        <f t="array" ref="B51">IFERROR(xlookup(A51,Cards!A$3:A$61,Cards!C$3:C$61,""),"")</f>
        <v>Ain</v>
      </c>
      <c r="C51" s="57">
        <v>8.22</v>
      </c>
      <c r="D51" s="52">
        <v>3.0</v>
      </c>
      <c r="E51" s="52">
        <v>12.0</v>
      </c>
      <c r="F51" s="52">
        <v>25.0</v>
      </c>
      <c r="G51" s="49" t="s">
        <v>36</v>
      </c>
      <c r="H51" s="71">
        <v>46185.0</v>
      </c>
      <c r="I51" s="17"/>
      <c r="J51" s="17"/>
      <c r="K51" s="17"/>
      <c r="L51" s="17"/>
      <c r="M51" s="17"/>
      <c r="N51" s="17"/>
      <c r="O51" s="58"/>
      <c r="P51" s="17"/>
      <c r="Q51" s="17"/>
      <c r="R51" s="17"/>
      <c r="S51" s="17"/>
      <c r="T51" s="17"/>
      <c r="U51" s="17"/>
      <c r="V51" s="17"/>
      <c r="W51" s="17"/>
    </row>
    <row r="52" ht="15.0" customHeight="1">
      <c r="A52" s="54" t="s">
        <v>109</v>
      </c>
      <c r="B52" s="63" t="str">
        <f t="array" ref="B52">IFERROR(xlookup(A52,Cards!A$3:A$61,Cards!C$3:C$61,""),"")</f>
        <v>Monkey.D.Luffy</v>
      </c>
      <c r="C52" s="57">
        <v>8.22</v>
      </c>
      <c r="D52" s="57">
        <v>36.0</v>
      </c>
      <c r="E52" s="57">
        <v>40.0</v>
      </c>
      <c r="F52" s="57">
        <v>71.0</v>
      </c>
      <c r="G52" s="49" t="s">
        <v>36</v>
      </c>
      <c r="H52" s="71">
        <v>46185.0</v>
      </c>
      <c r="I52" s="17"/>
      <c r="J52" s="17"/>
      <c r="K52" s="17"/>
      <c r="L52" s="17"/>
      <c r="M52" s="17"/>
      <c r="N52" s="17"/>
      <c r="O52" s="58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49" t="s">
        <v>110</v>
      </c>
      <c r="B53" s="63" t="str">
        <f t="array" ref="B53">IFERROR(xlookup(A53,Cards!A$3:A$61,Cards!C$3:C$61,""),"")</f>
        <v>Ulti</v>
      </c>
      <c r="C53" s="57">
        <v>8.22</v>
      </c>
      <c r="D53" s="52">
        <v>4.0</v>
      </c>
      <c r="E53" s="52">
        <v>15.0</v>
      </c>
      <c r="F53" s="52">
        <v>30.0</v>
      </c>
      <c r="G53" s="49" t="s">
        <v>36</v>
      </c>
      <c r="H53" s="71">
        <v>46185.0</v>
      </c>
      <c r="I53" s="17"/>
      <c r="J53" s="17"/>
      <c r="K53" s="17"/>
      <c r="L53" s="17"/>
      <c r="M53" s="58"/>
      <c r="N53" s="17"/>
      <c r="O53" s="58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54" t="s">
        <v>112</v>
      </c>
      <c r="B54" s="63" t="str">
        <f t="array" ref="B54">IFERROR(xlookup(A54,Cards!A$3:A$61,Cards!C$3:C$61,""),"")</f>
        <v>Atmos</v>
      </c>
      <c r="C54" s="57">
        <v>8.22</v>
      </c>
      <c r="D54" s="57">
        <v>5.0</v>
      </c>
      <c r="E54" s="57">
        <v>10.0</v>
      </c>
      <c r="F54" s="57">
        <v>20.0</v>
      </c>
      <c r="G54" s="49" t="s">
        <v>36</v>
      </c>
      <c r="H54" s="71">
        <v>46185.0</v>
      </c>
      <c r="I54" s="17"/>
      <c r="J54" s="17"/>
      <c r="K54" s="17"/>
      <c r="L54" s="17"/>
      <c r="M54" s="58"/>
      <c r="N54" s="17"/>
      <c r="O54" s="58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49" t="s">
        <v>114</v>
      </c>
      <c r="B55" s="63" t="str">
        <f t="array" ref="B55">IFERROR(xlookup(A55,Cards!A$3:A$61,Cards!C$3:C$61,""),"")</f>
        <v>Emporio.Ivankov</v>
      </c>
      <c r="C55" s="57">
        <v>8.22</v>
      </c>
      <c r="D55" s="52">
        <v>4.0</v>
      </c>
      <c r="E55" s="52">
        <v>12.0</v>
      </c>
      <c r="F55" s="52">
        <v>25.0</v>
      </c>
      <c r="G55" s="49" t="s">
        <v>36</v>
      </c>
      <c r="H55" s="71">
        <v>46185.0</v>
      </c>
      <c r="I55" s="17"/>
      <c r="J55" s="17"/>
      <c r="K55" s="17"/>
      <c r="L55" s="17"/>
      <c r="M55" s="58"/>
      <c r="N55" s="17"/>
      <c r="O55" s="58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54" t="s">
        <v>116</v>
      </c>
      <c r="B56" s="63" t="str">
        <f t="array" ref="B56">IFERROR(xlookup(A56,Cards!A$3:A$61,Cards!C$3:C$61,""),"")</f>
        <v>Raise Max</v>
      </c>
      <c r="C56" s="57">
        <v>8.22</v>
      </c>
      <c r="D56" s="57">
        <v>2.0</v>
      </c>
      <c r="E56" s="57">
        <v>10.0</v>
      </c>
      <c r="F56" s="57">
        <v>20.0</v>
      </c>
      <c r="G56" s="49" t="s">
        <v>36</v>
      </c>
      <c r="H56" s="71">
        <v>46185.0</v>
      </c>
      <c r="I56" s="17"/>
      <c r="J56" s="17"/>
      <c r="K56" s="17"/>
      <c r="L56" s="17"/>
      <c r="M56" s="58"/>
      <c r="N56" s="17"/>
      <c r="O56" s="58"/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49" t="s">
        <v>119</v>
      </c>
      <c r="B57" s="63" t="str">
        <f t="array" ref="B57">IFERROR(xlookup(A57,Cards!A$3:A$61,Cards!C$3:C$61,""),"")</f>
        <v>Portgas.D.Ace</v>
      </c>
      <c r="C57" s="57">
        <v>8.22</v>
      </c>
      <c r="D57" s="52">
        <v>6.0</v>
      </c>
      <c r="E57" s="52">
        <v>12.0</v>
      </c>
      <c r="F57" s="52">
        <v>25.0</v>
      </c>
      <c r="G57" s="49" t="s">
        <v>36</v>
      </c>
      <c r="H57" s="71">
        <v>46185.0</v>
      </c>
      <c r="I57" s="17"/>
      <c r="J57" s="17"/>
      <c r="K57" s="17"/>
      <c r="L57" s="17"/>
      <c r="M57" s="58"/>
      <c r="N57" s="17"/>
      <c r="O57" s="58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54" t="s">
        <v>121</v>
      </c>
      <c r="B58" s="63" t="str">
        <f t="array" ref="B58">IFERROR(xlookup(A58,Cards!A$3:A$61,Cards!C$3:C$61,""),"")</f>
        <v>Dr.Hogbackd</v>
      </c>
      <c r="C58" s="57">
        <v>8.22</v>
      </c>
      <c r="D58" s="57">
        <v>7.0</v>
      </c>
      <c r="E58" s="57">
        <v>10.0</v>
      </c>
      <c r="F58" s="57">
        <v>15.0</v>
      </c>
      <c r="G58" s="49" t="s">
        <v>36</v>
      </c>
      <c r="H58" s="71">
        <v>46185.0</v>
      </c>
      <c r="I58" s="17"/>
      <c r="J58" s="17"/>
      <c r="K58" s="17"/>
      <c r="L58" s="17"/>
      <c r="M58" s="58"/>
      <c r="N58" s="17"/>
      <c r="O58" s="58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49" t="s">
        <v>123</v>
      </c>
      <c r="B59" s="63" t="str">
        <f t="array" ref="B59">IFERROR(xlookup(A59,Cards!A$3:A$61,Cards!C$3:C$61,""),"")</f>
        <v>Makino</v>
      </c>
      <c r="C59" s="57">
        <v>8.22</v>
      </c>
      <c r="D59" s="52">
        <v>4.0</v>
      </c>
      <c r="E59" s="52">
        <v>10.0</v>
      </c>
      <c r="F59" s="52">
        <v>16.0</v>
      </c>
      <c r="G59" s="49" t="s">
        <v>36</v>
      </c>
      <c r="H59" s="71">
        <v>46185.0</v>
      </c>
      <c r="I59" s="17"/>
      <c r="J59" s="17"/>
      <c r="K59" s="17"/>
      <c r="L59" s="17"/>
      <c r="M59" s="58"/>
      <c r="N59" s="17"/>
      <c r="O59" s="58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54" t="s">
        <v>125</v>
      </c>
      <c r="B60" s="63" t="str">
        <f t="array" ref="B60">IFERROR(xlookup(A60,Cards!A$3:A$61,Cards!C$3:C$61,""),"")</f>
        <v>Baby 5</v>
      </c>
      <c r="C60" s="57">
        <v>8.22</v>
      </c>
      <c r="D60" s="57">
        <v>4.0</v>
      </c>
      <c r="E60" s="57">
        <v>10.0</v>
      </c>
      <c r="F60" s="57">
        <v>20.0</v>
      </c>
      <c r="G60" s="49" t="s">
        <v>36</v>
      </c>
      <c r="H60" s="71">
        <v>46185.0</v>
      </c>
      <c r="I60" s="17"/>
      <c r="J60" s="17"/>
      <c r="K60" s="17"/>
      <c r="L60" s="17"/>
      <c r="M60" s="58"/>
      <c r="N60" s="17"/>
      <c r="O60" s="58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49" t="s">
        <v>127</v>
      </c>
      <c r="B61" s="63" t="str">
        <f t="array" ref="B61">IFERROR(xlookup(A61,Cards!A$3:A$61,Cards!C$3:C$61,""),"")</f>
        <v>Ryuma</v>
      </c>
      <c r="C61" s="57">
        <v>8.22</v>
      </c>
      <c r="D61" s="52">
        <v>100.0</v>
      </c>
      <c r="E61" s="52">
        <v>10.0</v>
      </c>
      <c r="F61" s="52">
        <v>230.0</v>
      </c>
      <c r="G61" s="49" t="s">
        <v>36</v>
      </c>
      <c r="H61" s="71">
        <v>46185.0</v>
      </c>
      <c r="I61" s="17"/>
      <c r="J61" s="17"/>
      <c r="K61" s="17"/>
      <c r="L61" s="17"/>
      <c r="M61" s="58"/>
      <c r="N61" s="17"/>
      <c r="O61" s="58"/>
      <c r="P61" s="17"/>
      <c r="Q61" s="17"/>
      <c r="R61" s="17"/>
      <c r="S61" s="17"/>
      <c r="T61" s="17"/>
      <c r="U61" s="17"/>
      <c r="V61" s="17"/>
      <c r="W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58"/>
      <c r="N62" s="17"/>
      <c r="O62" s="58"/>
      <c r="P62" s="17"/>
      <c r="Q62" s="17"/>
      <c r="R62" s="17"/>
      <c r="S62" s="17"/>
      <c r="T62" s="17"/>
      <c r="U62" s="17"/>
      <c r="V62" s="17"/>
      <c r="W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58"/>
      <c r="N63" s="17"/>
      <c r="O63" s="58"/>
      <c r="P63" s="17"/>
      <c r="Q63" s="17"/>
      <c r="R63" s="17"/>
      <c r="S63" s="17"/>
      <c r="T63" s="17"/>
      <c r="U63" s="17"/>
      <c r="V63" s="17"/>
      <c r="W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58"/>
      <c r="N64" s="17"/>
      <c r="O64" s="58"/>
      <c r="P64" s="17"/>
      <c r="Q64" s="17"/>
      <c r="R64" s="17"/>
      <c r="S64" s="17"/>
      <c r="T64" s="17"/>
      <c r="U64" s="17"/>
      <c r="V64" s="17"/>
      <c r="W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58"/>
      <c r="P65" s="17"/>
      <c r="Q65" s="17"/>
      <c r="R65" s="17"/>
      <c r="S65" s="17"/>
      <c r="T65" s="17"/>
      <c r="U65" s="17"/>
      <c r="V65" s="17"/>
      <c r="W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58"/>
      <c r="P66" s="17"/>
      <c r="Q66" s="17"/>
      <c r="R66" s="17"/>
      <c r="S66" s="17"/>
      <c r="T66" s="17"/>
      <c r="U66" s="17"/>
      <c r="V66" s="17"/>
      <c r="W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58"/>
      <c r="P67" s="17"/>
      <c r="Q67" s="17"/>
      <c r="R67" s="17"/>
      <c r="S67" s="17"/>
      <c r="T67" s="17"/>
      <c r="U67" s="17"/>
      <c r="V67" s="17"/>
      <c r="W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58"/>
      <c r="P68" s="17"/>
      <c r="Q68" s="17"/>
      <c r="R68" s="17"/>
      <c r="S68" s="17"/>
      <c r="T68" s="17"/>
      <c r="U68" s="17"/>
      <c r="V68" s="17"/>
      <c r="W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58"/>
      <c r="P69" s="17"/>
      <c r="Q69" s="17"/>
      <c r="R69" s="17"/>
      <c r="S69" s="17"/>
      <c r="T69" s="17"/>
      <c r="U69" s="17"/>
      <c r="V69" s="17"/>
      <c r="W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58"/>
      <c r="P70" s="17"/>
      <c r="Q70" s="17"/>
      <c r="R70" s="17"/>
      <c r="S70" s="17"/>
      <c r="T70" s="17"/>
      <c r="U70" s="17"/>
      <c r="V70" s="17"/>
      <c r="W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58"/>
      <c r="P71" s="17"/>
      <c r="Q71" s="17"/>
      <c r="R71" s="17"/>
      <c r="S71" s="17"/>
      <c r="T71" s="17"/>
      <c r="U71" s="17"/>
      <c r="V71" s="17"/>
      <c r="W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58"/>
      <c r="P72" s="17"/>
      <c r="Q72" s="17"/>
      <c r="R72" s="17"/>
      <c r="S72" s="17"/>
      <c r="T72" s="17"/>
      <c r="U72" s="17"/>
      <c r="V72" s="17"/>
      <c r="W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58"/>
      <c r="P73" s="17"/>
      <c r="Q73" s="17"/>
      <c r="R73" s="17"/>
      <c r="S73" s="17"/>
      <c r="T73" s="17"/>
      <c r="U73" s="17"/>
      <c r="V73" s="17"/>
      <c r="W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58"/>
      <c r="P74" s="17"/>
      <c r="Q74" s="17"/>
      <c r="R74" s="17"/>
      <c r="S74" s="17"/>
      <c r="T74" s="17"/>
      <c r="U74" s="17"/>
      <c r="V74" s="17"/>
      <c r="W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58"/>
      <c r="P75" s="17"/>
      <c r="Q75" s="17"/>
      <c r="R75" s="17"/>
      <c r="S75" s="17"/>
      <c r="T75" s="17"/>
      <c r="U75" s="17"/>
      <c r="V75" s="17"/>
      <c r="W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58"/>
      <c r="P76" s="17"/>
      <c r="Q76" s="17"/>
      <c r="R76" s="17"/>
      <c r="S76" s="17"/>
      <c r="T76" s="17"/>
      <c r="U76" s="17"/>
      <c r="V76" s="17"/>
      <c r="W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58"/>
      <c r="P77" s="17"/>
      <c r="Q77" s="17"/>
      <c r="R77" s="17"/>
      <c r="S77" s="17"/>
      <c r="T77" s="17"/>
      <c r="U77" s="17"/>
      <c r="V77" s="17"/>
      <c r="W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58"/>
      <c r="P78" s="17"/>
      <c r="Q78" s="17"/>
      <c r="R78" s="17"/>
      <c r="S78" s="17"/>
      <c r="T78" s="17"/>
      <c r="U78" s="17"/>
      <c r="V78" s="17"/>
      <c r="W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58"/>
      <c r="P79" s="17"/>
      <c r="Q79" s="17"/>
      <c r="R79" s="17"/>
      <c r="S79" s="17"/>
      <c r="T79" s="17"/>
      <c r="U79" s="17"/>
      <c r="V79" s="17"/>
      <c r="W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58"/>
      <c r="P80" s="17"/>
      <c r="Q80" s="17"/>
      <c r="R80" s="17"/>
      <c r="S80" s="17"/>
      <c r="T80" s="17"/>
      <c r="U80" s="17"/>
      <c r="V80" s="17"/>
      <c r="W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58"/>
      <c r="P81" s="17"/>
      <c r="Q81" s="17"/>
      <c r="R81" s="17"/>
      <c r="S81" s="17"/>
      <c r="T81" s="17"/>
      <c r="U81" s="17"/>
      <c r="V81" s="17"/>
      <c r="W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58"/>
      <c r="P82" s="17"/>
      <c r="Q82" s="17"/>
      <c r="R82" s="17"/>
      <c r="S82" s="17"/>
      <c r="T82" s="17"/>
      <c r="U82" s="17"/>
      <c r="V82" s="17"/>
      <c r="W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58"/>
      <c r="P83" s="17"/>
      <c r="Q83" s="17"/>
      <c r="R83" s="17"/>
      <c r="S83" s="17"/>
      <c r="T83" s="17"/>
      <c r="U83" s="17"/>
      <c r="V83" s="17"/>
      <c r="W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58"/>
      <c r="P84" s="17"/>
      <c r="Q84" s="17"/>
      <c r="R84" s="17"/>
      <c r="S84" s="17"/>
      <c r="T84" s="17"/>
      <c r="U84" s="17"/>
      <c r="V84" s="17"/>
      <c r="W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58"/>
      <c r="P85" s="17"/>
      <c r="Q85" s="17"/>
      <c r="R85" s="17"/>
      <c r="S85" s="17"/>
      <c r="T85" s="17"/>
      <c r="U85" s="17"/>
      <c r="V85" s="17"/>
      <c r="W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58"/>
      <c r="P86" s="17"/>
      <c r="Q86" s="17"/>
      <c r="R86" s="17"/>
      <c r="S86" s="17"/>
      <c r="T86" s="17"/>
      <c r="U86" s="17"/>
      <c r="V86" s="17"/>
      <c r="W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58"/>
      <c r="P87" s="17"/>
      <c r="Q87" s="17"/>
      <c r="R87" s="17"/>
      <c r="S87" s="17"/>
      <c r="T87" s="17"/>
      <c r="U87" s="17"/>
      <c r="V87" s="17"/>
      <c r="W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58"/>
      <c r="P88" s="17"/>
      <c r="Q88" s="17"/>
      <c r="R88" s="17"/>
      <c r="S88" s="17"/>
      <c r="T88" s="17"/>
      <c r="U88" s="17"/>
      <c r="V88" s="17"/>
      <c r="W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58"/>
      <c r="P89" s="17"/>
      <c r="Q89" s="17"/>
      <c r="R89" s="17"/>
      <c r="S89" s="17"/>
      <c r="T89" s="17"/>
      <c r="U89" s="17"/>
      <c r="V89" s="17"/>
      <c r="W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58"/>
      <c r="P90" s="17"/>
      <c r="Q90" s="17"/>
      <c r="R90" s="17"/>
      <c r="S90" s="17"/>
      <c r="T90" s="17"/>
      <c r="U90" s="17"/>
      <c r="V90" s="17"/>
      <c r="W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58"/>
      <c r="P91" s="17"/>
      <c r="Q91" s="17"/>
      <c r="R91" s="17"/>
      <c r="S91" s="17"/>
      <c r="T91" s="17"/>
      <c r="U91" s="17"/>
      <c r="V91" s="17"/>
      <c r="W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58"/>
      <c r="P92" s="17"/>
      <c r="Q92" s="17"/>
      <c r="R92" s="17"/>
      <c r="S92" s="17"/>
      <c r="T92" s="17"/>
      <c r="U92" s="17"/>
      <c r="V92" s="17"/>
      <c r="W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58"/>
      <c r="P93" s="17"/>
      <c r="Q93" s="17"/>
      <c r="R93" s="17"/>
      <c r="S93" s="17"/>
      <c r="T93" s="17"/>
      <c r="U93" s="17"/>
      <c r="V93" s="17"/>
      <c r="W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58"/>
      <c r="P94" s="17"/>
      <c r="Q94" s="17"/>
      <c r="R94" s="17"/>
      <c r="S94" s="17"/>
      <c r="T94" s="17"/>
      <c r="U94" s="17"/>
      <c r="V94" s="17"/>
      <c r="W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58"/>
      <c r="P95" s="17"/>
      <c r="Q95" s="17"/>
      <c r="R95" s="17"/>
      <c r="S95" s="17"/>
      <c r="T95" s="17"/>
      <c r="U95" s="17"/>
      <c r="V95" s="17"/>
      <c r="W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58"/>
      <c r="P96" s="17"/>
      <c r="Q96" s="17"/>
      <c r="R96" s="17"/>
      <c r="S96" s="17"/>
      <c r="T96" s="17"/>
      <c r="U96" s="17"/>
      <c r="V96" s="17"/>
      <c r="W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58"/>
      <c r="P97" s="17"/>
      <c r="Q97" s="17"/>
      <c r="R97" s="17"/>
      <c r="S97" s="17"/>
      <c r="T97" s="17"/>
      <c r="U97" s="17"/>
      <c r="V97" s="17"/>
      <c r="W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58"/>
      <c r="P98" s="17"/>
      <c r="Q98" s="17"/>
      <c r="R98" s="17"/>
      <c r="S98" s="17"/>
      <c r="T98" s="17"/>
      <c r="U98" s="17"/>
      <c r="V98" s="17"/>
      <c r="W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58"/>
      <c r="P99" s="17"/>
      <c r="Q99" s="17"/>
      <c r="R99" s="17"/>
      <c r="S99" s="17"/>
      <c r="T99" s="17"/>
      <c r="U99" s="17"/>
      <c r="V99" s="17"/>
      <c r="W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58"/>
      <c r="P100" s="17"/>
      <c r="Q100" s="17"/>
      <c r="R100" s="17"/>
      <c r="S100" s="17"/>
      <c r="T100" s="17"/>
      <c r="U100" s="17"/>
      <c r="V100" s="17"/>
      <c r="W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58"/>
      <c r="P101" s="17"/>
      <c r="Q101" s="17"/>
      <c r="R101" s="17"/>
      <c r="S101" s="17"/>
      <c r="T101" s="17"/>
      <c r="U101" s="17"/>
      <c r="V101" s="17"/>
      <c r="W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58"/>
      <c r="P102" s="17"/>
      <c r="Q102" s="17"/>
      <c r="R102" s="17"/>
      <c r="S102" s="17"/>
      <c r="T102" s="17"/>
      <c r="U102" s="17"/>
      <c r="V102" s="17"/>
      <c r="W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58"/>
      <c r="P103" s="17"/>
      <c r="Q103" s="17"/>
      <c r="R103" s="17"/>
      <c r="S103" s="17"/>
      <c r="T103" s="17"/>
      <c r="U103" s="17"/>
      <c r="V103" s="17"/>
      <c r="W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58"/>
      <c r="P104" s="17"/>
      <c r="Q104" s="17"/>
      <c r="R104" s="17"/>
      <c r="S104" s="17"/>
      <c r="T104" s="17"/>
      <c r="U104" s="17"/>
      <c r="V104" s="17"/>
      <c r="W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58"/>
      <c r="P105" s="17"/>
      <c r="Q105" s="17"/>
      <c r="R105" s="17"/>
      <c r="S105" s="17"/>
      <c r="T105" s="17"/>
      <c r="U105" s="17"/>
      <c r="V105" s="17"/>
      <c r="W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58"/>
      <c r="P106" s="17"/>
      <c r="Q106" s="17"/>
      <c r="R106" s="17"/>
      <c r="S106" s="17"/>
      <c r="T106" s="17"/>
      <c r="U106" s="17"/>
      <c r="V106" s="17"/>
      <c r="W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58"/>
      <c r="P107" s="17"/>
      <c r="Q107" s="17"/>
      <c r="R107" s="17"/>
      <c r="S107" s="17"/>
      <c r="T107" s="17"/>
      <c r="U107" s="17"/>
      <c r="V107" s="17"/>
      <c r="W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58"/>
      <c r="P108" s="17"/>
      <c r="Q108" s="17"/>
      <c r="R108" s="17"/>
      <c r="S108" s="17"/>
      <c r="T108" s="17"/>
      <c r="U108" s="17"/>
      <c r="V108" s="17"/>
      <c r="W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20.0"/>
    <col customWidth="1" min="4" max="4" width="13.0"/>
    <col customWidth="1" min="5" max="5" width="10.0"/>
    <col customWidth="1" min="6" max="7" width="9.0"/>
    <col customWidth="1" min="8" max="8" width="11.0"/>
    <col customWidth="1" min="9" max="9" width="14.0"/>
    <col customWidth="1" min="10" max="12" width="13.0"/>
    <col customWidth="1" min="13" max="13" width="11.0"/>
    <col customWidth="1" min="14" max="15" width="10.0"/>
    <col customWidth="1" min="16" max="16" width="11.0"/>
    <col customWidth="1" min="17" max="23" width="13.0"/>
  </cols>
  <sheetData>
    <row r="1" ht="30.0" customHeight="1">
      <c r="A1" s="44" t="s">
        <v>160</v>
      </c>
      <c r="B1" s="45"/>
      <c r="C1" s="46"/>
      <c r="D1" s="75" t="s">
        <v>181</v>
      </c>
      <c r="E1" s="59" t="s">
        <v>182</v>
      </c>
      <c r="F1" s="45"/>
      <c r="G1" s="45"/>
      <c r="H1" s="45"/>
      <c r="I1" s="46"/>
      <c r="J1" s="76" t="s">
        <v>183</v>
      </c>
      <c r="K1" s="45"/>
      <c r="L1" s="46"/>
      <c r="M1" s="17"/>
      <c r="Q1" s="77"/>
      <c r="R1" s="77"/>
      <c r="S1" s="77"/>
      <c r="T1" s="17"/>
      <c r="U1" s="17"/>
      <c r="V1" s="17"/>
      <c r="W1" s="17"/>
      <c r="X1" s="17"/>
    </row>
    <row r="2" ht="49.5" customHeight="1">
      <c r="A2" s="47" t="s">
        <v>0</v>
      </c>
      <c r="B2" s="47" t="s">
        <v>1</v>
      </c>
      <c r="C2" s="47" t="s">
        <v>2</v>
      </c>
      <c r="D2" s="48" t="s">
        <v>184</v>
      </c>
      <c r="E2" s="61" t="s">
        <v>185</v>
      </c>
      <c r="F2" s="61" t="s">
        <v>170</v>
      </c>
      <c r="G2" s="61" t="s">
        <v>171</v>
      </c>
      <c r="H2" s="61" t="s">
        <v>172</v>
      </c>
      <c r="I2" s="61" t="s">
        <v>165</v>
      </c>
      <c r="J2" s="70" t="s">
        <v>186</v>
      </c>
      <c r="K2" s="78" t="s">
        <v>187</v>
      </c>
      <c r="L2" s="70" t="s">
        <v>188</v>
      </c>
      <c r="M2" s="70" t="s">
        <v>189</v>
      </c>
      <c r="N2" s="70" t="s">
        <v>175</v>
      </c>
      <c r="O2" s="79" t="s">
        <v>190</v>
      </c>
      <c r="P2" s="79" t="s">
        <v>191</v>
      </c>
      <c r="Q2" s="79" t="s">
        <v>192</v>
      </c>
      <c r="R2" s="79" t="s">
        <v>193</v>
      </c>
      <c r="S2" s="80" t="s">
        <v>194</v>
      </c>
      <c r="T2" s="78" t="s">
        <v>195</v>
      </c>
      <c r="U2" s="81" t="s">
        <v>196</v>
      </c>
      <c r="V2" s="81" t="s">
        <v>197</v>
      </c>
      <c r="W2" s="81" t="s">
        <v>198</v>
      </c>
      <c r="X2" s="81" t="s">
        <v>199</v>
      </c>
    </row>
    <row r="3" ht="15.0" customHeight="1">
      <c r="A3" s="49" t="s">
        <v>31</v>
      </c>
      <c r="B3" s="82" t="str">
        <f t="array" ref="B3">IFERROR(xlookup(A3,Cards!A$3:A$61,Cards!C$3:C$61),"")</f>
        <v>Monkey.D.Luffy</v>
      </c>
      <c r="C3" s="82" t="str">
        <f t="array" ref="C3">IFERROR(xlookup(A3,Cards!A$3:A$61,Cards!D$3:D$61),"")</f>
        <v>25th Anniversary Japanese</v>
      </c>
      <c r="D3" s="53">
        <f t="array" ref="D3">IFERROR(xlookup(A3,Cards!A1:A1000,Cards!K1:K1000),"")</f>
        <v>607.8</v>
      </c>
      <c r="E3" s="83">
        <f t="array" ref="E3">IFERROR(xlookup(A3,'CGC Pop Rates'!A$3:A$61,'CGC Pop Rates'!H$3:H$61),"")</f>
        <v>0.4864667154</v>
      </c>
      <c r="F3" s="83">
        <f t="array" ref="F3">IFERROR(xlookup(A3,'CGC Pop Rates'!A$3:A$61,'CGC Pop Rates'!I$3:I$61),"")</f>
        <v>0.3416239941</v>
      </c>
      <c r="G3" s="83">
        <f t="array" ref="G3">IFERROR(xlookup(A3,'CGC Pop Rates'!A$3:A$61,'CGC Pop Rates'!J$3:J$61),"")</f>
        <v>0.1148500366</v>
      </c>
      <c r="H3" s="83">
        <f t="array" ref="H3">IFERROR(xlookup(A3,'CGC Pop Rates'!A$3:A$61,'CGC Pop Rates'!K$3:K$61),"")</f>
        <v>0.05705925384</v>
      </c>
      <c r="I3" s="82" t="str">
        <f t="array" ref="I3">IFERROR(xlookup(A3,'CGC Pop Rates'!A$3:A$61,'CGC Pop Rates'!D$3:D$61),"")</f>
        <v>Yes</v>
      </c>
      <c r="J3" s="53">
        <v>1250.0</v>
      </c>
      <c r="K3" s="84">
        <f t="array" ref="K3">IFERROR(xlookup(A3,'Market Prices'!A$3:A$61,'Market Prices'!F$3:F$61),"")</f>
        <v>155</v>
      </c>
      <c r="L3" s="53">
        <f t="array" ref="L3">IFERROR(xlookup(A3,'Market Prices'!A$3:A$61,'Market Prices'!E$3:E$61),"")</f>
        <v>70</v>
      </c>
      <c r="M3" s="53">
        <f t="array" ref="M3">IFERROR(xlookup(A3,'Market Prices'!A$3:A$61,'Market Prices'!D$3:D$61),"")</f>
        <v>35</v>
      </c>
      <c r="N3" s="53">
        <f t="array" ref="N3">IFERROR(xlookup(A3,'Market Prices'!A$3:A$61,'Market Prices'!C$3:C$61),"")</f>
        <v>17.39</v>
      </c>
      <c r="O3" s="85">
        <f t="array" ref="O3">IFERROR(IF(AND(A3&lt;&gt;"",E3&lt;&gt;""),ROUNDDOWN(xlookup(A3,Cards!A$3:A$61,Cards!E$3:E$61)*E3,0),""),"")</f>
        <v>9</v>
      </c>
      <c r="P3" s="85">
        <f t="array" ref="P3">IFERROR(IF(AND(A3&lt;&gt;"",F3&lt;&gt;""),ROUNDDOWN(xlookup(A3,Cards!A$3:A$61,Cards!E$3:E$61)*F3,0),""),"")</f>
        <v>6</v>
      </c>
      <c r="Q3" s="85">
        <f t="array" ref="Q3">IFERROR(IF(AND(A3&lt;&gt;"",G3&lt;&gt;""),ROUNDUP(xlookup(A3,Cards!A$3:A$61,Cards!E$3:E$61)*G3,0),""),"")</f>
        <v>3</v>
      </c>
      <c r="R3" s="85">
        <f t="array" ref="R3">IFERROR(IF(AND(A3&lt;&gt;"",H3&lt;&gt;""),ROUNDUP(xlookup(A3,Cards!A$3:A$61,Cards!E$3:E$61)*H3,0),""),"")</f>
        <v>2</v>
      </c>
      <c r="S3" s="86">
        <f t="shared" ref="S3:S61" si="1">IFERROR(IF(C3&lt;&gt;"",minifs(O$3:O$61,C$3:C$61,C3),""),"")</f>
        <v>7</v>
      </c>
      <c r="T3" s="85">
        <f t="shared" ref="T3:T61" si="2">O3-S3</f>
        <v>2</v>
      </c>
      <c r="U3" s="87">
        <f t="shared" ref="U3:U61" si="3">(O3*K3)+(P3*L3)+(Q3*M3)+(R3*N3)</f>
        <v>1954.78</v>
      </c>
      <c r="V3" s="88">
        <f t="shared" ref="V3:V61" si="4">IFERROR(IF(AND(U3&lt;&gt;"",D3&lt;&gt;""),U3-D3,""),"")</f>
        <v>1346.98</v>
      </c>
      <c r="W3" s="89">
        <f t="shared" ref="W3:W61" si="5">IFERROR(IF(AND(U3&lt;&gt;"",D3&lt;&gt;"",D3&lt;&gt;0),(U3-D3)/D3,""),"")</f>
        <v>2.21615663</v>
      </c>
      <c r="X3" s="87">
        <f t="shared" ref="X3:X61" si="6">(T3*K3)+(P3*L3)+(Q3*M3)+(R3*N3)</f>
        <v>869.78</v>
      </c>
    </row>
    <row r="4" ht="15.0" customHeight="1">
      <c r="A4" s="54" t="s">
        <v>37</v>
      </c>
      <c r="B4" s="82" t="str">
        <f t="array" ref="B4">IFERROR(xlookup(A4,Cards!A$3:A$61,Cards!C$3:C$61),"")</f>
        <v>Roronoa Zoro</v>
      </c>
      <c r="C4" s="82" t="str">
        <f t="array" ref="C4">IFERROR(xlookup(A4,Cards!A$3:A$61,Cards!D$3:D$61),"")</f>
        <v>25th Anniversary Japanese</v>
      </c>
      <c r="D4" s="53">
        <f t="array" ref="D4">IFERROR(xlookup(A4,Cards!A2:A1001,Cards!K2:K1001),"")</f>
        <v>607.8</v>
      </c>
      <c r="E4" s="83">
        <f t="array" ref="E4">IFERROR(xlookup(A4,'CGC Pop Rates'!A$3:A$61,'CGC Pop Rates'!H$3:H$61),"")</f>
        <v>0.4070484581</v>
      </c>
      <c r="F4" s="83">
        <f t="array" ref="F4">IFERROR(xlookup(A4,'CGC Pop Rates'!A$3:A$61,'CGC Pop Rates'!I$3:I$61),"")</f>
        <v>0.4325991189</v>
      </c>
      <c r="G4" s="83">
        <f t="array" ref="G4">IFERROR(xlookup(A4,'CGC Pop Rates'!A$3:A$61,'CGC Pop Rates'!J$3:J$61),"")</f>
        <v>0.1251101322</v>
      </c>
      <c r="H4" s="83">
        <f t="array" ref="H4">IFERROR(xlookup(A4,'CGC Pop Rates'!A$3:A$61,'CGC Pop Rates'!K$3:K$61),"")</f>
        <v>0.03524229075</v>
      </c>
      <c r="I4" s="82" t="str">
        <f t="array" ref="I4">IFERROR(xlookup(A4,'CGC Pop Rates'!A$3:A$61,'CGC Pop Rates'!D$3:D$61),"")</f>
        <v>Yes</v>
      </c>
      <c r="J4" s="53">
        <v>1250.0</v>
      </c>
      <c r="K4" s="84">
        <f t="array" ref="K4">IFERROR(xlookup(A4,'Market Prices'!A$3:A$61,'Market Prices'!F$3:F$61),"")</f>
        <v>90</v>
      </c>
      <c r="L4" s="53">
        <f t="array" ref="L4">IFERROR(xlookup(A4,'Market Prices'!A$3:A$61,'Market Prices'!E$3:E$61),"")</f>
        <v>54</v>
      </c>
      <c r="M4" s="53">
        <f t="array" ref="M4">IFERROR(xlookup(A4,'Market Prices'!A$3:A$61,'Market Prices'!D$3:D$61),"")</f>
        <v>30</v>
      </c>
      <c r="N4" s="53">
        <f t="array" ref="N4">IFERROR(xlookup(A4,'Market Prices'!A$3:A$61,'Market Prices'!C$3:C$61),"")</f>
        <v>17.39</v>
      </c>
      <c r="O4" s="85">
        <f t="array" ref="O4">IFERROR(IF(AND(A4&lt;&gt;"",E4&lt;&gt;""),ROUNDDOWN(xlookup(A4,Cards!A$3:A$61,Cards!E$3:E$61)*E4,0),""),"")</f>
        <v>8</v>
      </c>
      <c r="P4" s="85">
        <f t="array" ref="P4">IFERROR(IF(AND(A4&lt;&gt;"",F4&lt;&gt;""),ROUNDDOWN(xlookup(A4,Cards!A$3:A$61,Cards!E$3:E$61)*F4,0),""),"")</f>
        <v>8</v>
      </c>
      <c r="Q4" s="85">
        <f t="array" ref="Q4">IFERROR(IF(AND(A4&lt;&gt;"",G4&lt;&gt;""),ROUNDUP(xlookup(A4,Cards!A$3:A$61,Cards!E$3:E$61)*G4,0),""),"")</f>
        <v>3</v>
      </c>
      <c r="R4" s="85">
        <f t="array" ref="R4">IFERROR(IF(AND(A4&lt;&gt;"",H4&lt;&gt;""),ROUNDUP(xlookup(A4,Cards!A$3:A$61,Cards!E$3:E$61)*H4,0),""),"")</f>
        <v>1</v>
      </c>
      <c r="S4" s="86">
        <f t="shared" si="1"/>
        <v>7</v>
      </c>
      <c r="T4" s="85">
        <f t="shared" si="2"/>
        <v>1</v>
      </c>
      <c r="U4" s="87">
        <f t="shared" si="3"/>
        <v>1259.39</v>
      </c>
      <c r="V4" s="88">
        <f t="shared" si="4"/>
        <v>651.59</v>
      </c>
      <c r="W4" s="89">
        <f t="shared" si="5"/>
        <v>1.072046726</v>
      </c>
      <c r="X4" s="87">
        <f t="shared" si="6"/>
        <v>629.39</v>
      </c>
    </row>
    <row r="5" ht="15.0" customHeight="1">
      <c r="A5" s="49" t="s">
        <v>39</v>
      </c>
      <c r="B5" s="82" t="str">
        <f t="array" ref="B5">IFERROR(xlookup(A5,Cards!A$3:A$61,Cards!C$3:C$61),"")</f>
        <v>Nami</v>
      </c>
      <c r="C5" s="82" t="str">
        <f t="array" ref="C5">IFERROR(xlookup(A5,Cards!A$3:A$61,Cards!D$3:D$61),"")</f>
        <v>25th Anniversary Japanese</v>
      </c>
      <c r="D5" s="53">
        <f t="array" ref="D5">IFERROR(xlookup(A5,Cards!A3:A1002,Cards!K3:K1002),"")</f>
        <v>607.8</v>
      </c>
      <c r="E5" s="83">
        <f t="array" ref="E5">IFERROR(xlookup(A5,'CGC Pop Rates'!A$3:A$61,'CGC Pop Rates'!H$3:H$61),"")</f>
        <v>0.5860688551</v>
      </c>
      <c r="F5" s="83">
        <f t="array" ref="F5">IFERROR(xlookup(A5,'CGC Pop Rates'!A$3:A$61,'CGC Pop Rates'!I$3:I$61),"")</f>
        <v>0.2866293034</v>
      </c>
      <c r="G5" s="83">
        <f t="array" ref="G5">IFERROR(xlookup(A5,'CGC Pop Rates'!A$3:A$61,'CGC Pop Rates'!J$3:J$61),"")</f>
        <v>0.0904723779</v>
      </c>
      <c r="H5" s="83">
        <f t="array" ref="H5">IFERROR(xlookup(A5,'CGC Pop Rates'!A$3:A$61,'CGC Pop Rates'!K$3:K$61),"")</f>
        <v>0.03682946357</v>
      </c>
      <c r="I5" s="82" t="str">
        <f t="array" ref="I5">IFERROR(xlookup(A5,'CGC Pop Rates'!A$3:A$61,'CGC Pop Rates'!D$3:D$61),"")</f>
        <v>Yes</v>
      </c>
      <c r="J5" s="53">
        <v>1250.0</v>
      </c>
      <c r="K5" s="84">
        <f t="array" ref="K5">IFERROR(xlookup(A5,'Market Prices'!A$3:A$61,'Market Prices'!F$3:F$61),"")</f>
        <v>100</v>
      </c>
      <c r="L5" s="53">
        <f t="array" ref="L5">IFERROR(xlookup(A5,'Market Prices'!A$3:A$61,'Market Prices'!E$3:E$61),"")</f>
        <v>40</v>
      </c>
      <c r="M5" s="53">
        <f t="array" ref="M5">IFERROR(xlookup(A5,'Market Prices'!A$3:A$61,'Market Prices'!D$3:D$61),"")</f>
        <v>30</v>
      </c>
      <c r="N5" s="53">
        <f t="array" ref="N5">IFERROR(xlookup(A5,'Market Prices'!A$3:A$61,'Market Prices'!C$3:C$61),"")</f>
        <v>17.39</v>
      </c>
      <c r="O5" s="85">
        <f t="array" ref="O5">IFERROR(IF(AND(A5&lt;&gt;"",E5&lt;&gt;""),ROUNDDOWN(xlookup(A5,Cards!A$3:A$61,Cards!E$3:E$61)*E5,0),""),"")</f>
        <v>11</v>
      </c>
      <c r="P5" s="85">
        <f t="array" ref="P5">IFERROR(IF(AND(A5&lt;&gt;"",F5&lt;&gt;""),ROUNDDOWN(xlookup(A5,Cards!A$3:A$61,Cards!E$3:E$61)*F5,0),""),"")</f>
        <v>5</v>
      </c>
      <c r="Q5" s="85">
        <f t="array" ref="Q5">IFERROR(IF(AND(A5&lt;&gt;"",G5&lt;&gt;""),ROUNDUP(xlookup(A5,Cards!A$3:A$61,Cards!E$3:E$61)*G5,0),""),"")</f>
        <v>2</v>
      </c>
      <c r="R5" s="85">
        <f t="array" ref="R5">IFERROR(IF(AND(A5&lt;&gt;"",H5&lt;&gt;""),ROUNDUP(xlookup(A5,Cards!A$3:A$61,Cards!E$3:E$61)*H5,0),""),"")</f>
        <v>1</v>
      </c>
      <c r="S5" s="86">
        <f t="shared" si="1"/>
        <v>7</v>
      </c>
      <c r="T5" s="85">
        <f t="shared" si="2"/>
        <v>4</v>
      </c>
      <c r="U5" s="87">
        <f t="shared" si="3"/>
        <v>1377.39</v>
      </c>
      <c r="V5" s="88">
        <f t="shared" si="4"/>
        <v>769.59</v>
      </c>
      <c r="W5" s="89">
        <f t="shared" si="5"/>
        <v>1.266189536</v>
      </c>
      <c r="X5" s="87">
        <f t="shared" si="6"/>
        <v>677.39</v>
      </c>
    </row>
    <row r="6" ht="15.0" customHeight="1">
      <c r="A6" s="54" t="s">
        <v>41</v>
      </c>
      <c r="B6" s="82" t="str">
        <f t="array" ref="B6">IFERROR(xlookup(A6,Cards!A$3:A$61,Cards!C$3:C$61),"")</f>
        <v>Nico Robin</v>
      </c>
      <c r="C6" s="82" t="str">
        <f t="array" ref="C6">IFERROR(xlookup(A6,Cards!A$3:A$61,Cards!D$3:D$61),"")</f>
        <v>25th Anniversary Japanese</v>
      </c>
      <c r="D6" s="53">
        <f t="array" ref="D6">IFERROR(xlookup(A6,Cards!A4:A1003,Cards!K4:K1003),"")</f>
        <v>607.8</v>
      </c>
      <c r="E6" s="83">
        <f t="array" ref="E6">IFERROR(xlookup(A6,'CGC Pop Rates'!A$3:A$61,'CGC Pop Rates'!H$3:H$61),"")</f>
        <v>0.6090497738</v>
      </c>
      <c r="F6" s="83">
        <f t="array" ref="F6">IFERROR(xlookup(A6,'CGC Pop Rates'!A$3:A$61,'CGC Pop Rates'!I$3:I$61),"")</f>
        <v>0.2714932127</v>
      </c>
      <c r="G6" s="83">
        <f t="array" ref="G6">IFERROR(xlookup(A6,'CGC Pop Rates'!A$3:A$61,'CGC Pop Rates'!J$3:J$61),"")</f>
        <v>0.08778280543</v>
      </c>
      <c r="H6" s="83">
        <f t="array" ref="H6">IFERROR(xlookup(A6,'CGC Pop Rates'!A$3:A$61,'CGC Pop Rates'!K$3:K$61),"")</f>
        <v>0.03167420814</v>
      </c>
      <c r="I6" s="82" t="str">
        <f t="array" ref="I6">IFERROR(xlookup(A6,'CGC Pop Rates'!A$3:A$61,'CGC Pop Rates'!D$3:D$61),"")</f>
        <v>Yes</v>
      </c>
      <c r="J6" s="53">
        <v>1250.0</v>
      </c>
      <c r="K6" s="84">
        <f t="array" ref="K6">IFERROR(xlookup(A6,'Market Prices'!A$3:A$61,'Market Prices'!F$3:F$61),"")</f>
        <v>90</v>
      </c>
      <c r="L6" s="53">
        <f t="array" ref="L6">IFERROR(xlookup(A6,'Market Prices'!A$3:A$61,'Market Prices'!E$3:E$61),"")</f>
        <v>30</v>
      </c>
      <c r="M6" s="53">
        <f t="array" ref="M6">IFERROR(xlookup(A6,'Market Prices'!A$3:A$61,'Market Prices'!D$3:D$61),"")</f>
        <v>20</v>
      </c>
      <c r="N6" s="53">
        <f t="array" ref="N6">IFERROR(xlookup(A6,'Market Prices'!A$3:A$61,'Market Prices'!C$3:C$61),"")</f>
        <v>17.39</v>
      </c>
      <c r="O6" s="85">
        <f t="array" ref="O6">IFERROR(IF(AND(A6&lt;&gt;"",E6&lt;&gt;""),ROUNDDOWN(xlookup(A6,Cards!A$3:A$61,Cards!E$3:E$61)*E6,0),""),"")</f>
        <v>12</v>
      </c>
      <c r="P6" s="85">
        <f t="array" ref="P6">IFERROR(IF(AND(A6&lt;&gt;"",F6&lt;&gt;""),ROUNDDOWN(xlookup(A6,Cards!A$3:A$61,Cards!E$3:E$61)*F6,0),""),"")</f>
        <v>5</v>
      </c>
      <c r="Q6" s="85">
        <f t="array" ref="Q6">IFERROR(IF(AND(A6&lt;&gt;"",G6&lt;&gt;""),ROUNDUP(xlookup(A6,Cards!A$3:A$61,Cards!E$3:E$61)*G6,0),""),"")</f>
        <v>2</v>
      </c>
      <c r="R6" s="85">
        <f t="array" ref="R6">IFERROR(IF(AND(A6&lt;&gt;"",H6&lt;&gt;""),ROUNDUP(xlookup(A6,Cards!A$3:A$61,Cards!E$3:E$61)*H6,0),""),"")</f>
        <v>1</v>
      </c>
      <c r="S6" s="86">
        <f t="shared" si="1"/>
        <v>7</v>
      </c>
      <c r="T6" s="85">
        <f t="shared" si="2"/>
        <v>5</v>
      </c>
      <c r="U6" s="87">
        <f t="shared" si="3"/>
        <v>1287.39</v>
      </c>
      <c r="V6" s="88">
        <f t="shared" si="4"/>
        <v>679.59</v>
      </c>
      <c r="W6" s="89">
        <f t="shared" si="5"/>
        <v>1.118114511</v>
      </c>
      <c r="X6" s="87">
        <f t="shared" si="6"/>
        <v>657.39</v>
      </c>
    </row>
    <row r="7" ht="15.0" customHeight="1">
      <c r="A7" s="49" t="s">
        <v>43</v>
      </c>
      <c r="B7" s="82" t="str">
        <f t="array" ref="B7">IFERROR(xlookup(A7,Cards!A$3:A$61,Cards!C$3:C$61),"")</f>
        <v>Tony Tony Chopper</v>
      </c>
      <c r="C7" s="82" t="str">
        <f t="array" ref="C7">IFERROR(xlookup(A7,Cards!A$3:A$61,Cards!D$3:D$61),"")</f>
        <v>25th Anniversary Japanese</v>
      </c>
      <c r="D7" s="53">
        <f t="array" ref="D7">IFERROR(xlookup(A7,Cards!A5:A1004,Cards!K5:K1004),"")</f>
        <v>607.8</v>
      </c>
      <c r="E7" s="83">
        <f t="array" ref="E7">IFERROR(xlookup(A7,'CGC Pop Rates'!A$3:A$61,'CGC Pop Rates'!H$3:H$61),"")</f>
        <v>0.5785123967</v>
      </c>
      <c r="F7" s="83">
        <f t="array" ref="F7">IFERROR(xlookup(A7,'CGC Pop Rates'!A$3:A$61,'CGC Pop Rates'!I$3:I$61),"")</f>
        <v>0.2571166208</v>
      </c>
      <c r="G7" s="83">
        <f t="array" ref="G7">IFERROR(xlookup(A7,'CGC Pop Rates'!A$3:A$61,'CGC Pop Rates'!J$3:J$61),"")</f>
        <v>0.09641873278</v>
      </c>
      <c r="H7" s="83">
        <f t="array" ref="H7">IFERROR(xlookup(A7,'CGC Pop Rates'!A$3:A$61,'CGC Pop Rates'!K$3:K$61),"")</f>
        <v>0.06795224977</v>
      </c>
      <c r="I7" s="82" t="str">
        <f t="array" ref="I7">IFERROR(xlookup(A7,'CGC Pop Rates'!A$3:A$61,'CGC Pop Rates'!D$3:D$61),"")</f>
        <v>Yes</v>
      </c>
      <c r="J7" s="53">
        <v>1250.0</v>
      </c>
      <c r="K7" s="84">
        <f t="array" ref="K7">IFERROR(xlookup(A7,'Market Prices'!A$3:A$61,'Market Prices'!F$3:F$61),"")</f>
        <v>120</v>
      </c>
      <c r="L7" s="53">
        <f t="array" ref="L7">IFERROR(xlookup(A7,'Market Prices'!A$3:A$61,'Market Prices'!E$3:E$61),"")</f>
        <v>60</v>
      </c>
      <c r="M7" s="53">
        <f t="array" ref="M7">IFERROR(xlookup(A7,'Market Prices'!A$3:A$61,'Market Prices'!D$3:D$61),"")</f>
        <v>27</v>
      </c>
      <c r="N7" s="53">
        <f t="array" ref="N7">IFERROR(xlookup(A7,'Market Prices'!A$3:A$61,'Market Prices'!C$3:C$61),"")</f>
        <v>17.39</v>
      </c>
      <c r="O7" s="85">
        <f t="array" ref="O7">IFERROR(IF(AND(A7&lt;&gt;"",E7&lt;&gt;""),ROUNDDOWN(xlookup(A7,Cards!A$3:A$61,Cards!E$3:E$61)*E7,0),""),"")</f>
        <v>11</v>
      </c>
      <c r="P7" s="85">
        <f t="array" ref="P7">IFERROR(IF(AND(A7&lt;&gt;"",F7&lt;&gt;""),ROUNDDOWN(xlookup(A7,Cards!A$3:A$61,Cards!E$3:E$61)*F7,0),""),"")</f>
        <v>5</v>
      </c>
      <c r="Q7" s="85">
        <f t="array" ref="Q7">IFERROR(IF(AND(A7&lt;&gt;"",G7&lt;&gt;""),ROUNDUP(xlookup(A7,Cards!A$3:A$61,Cards!E$3:E$61)*G7,0),""),"")</f>
        <v>2</v>
      </c>
      <c r="R7" s="85">
        <f t="array" ref="R7">IFERROR(IF(AND(A7&lt;&gt;"",H7&lt;&gt;""),ROUNDUP(xlookup(A7,Cards!A$3:A$61,Cards!E$3:E$61)*H7,0),""),"")</f>
        <v>2</v>
      </c>
      <c r="S7" s="86">
        <f t="shared" si="1"/>
        <v>7</v>
      </c>
      <c r="T7" s="85">
        <f t="shared" si="2"/>
        <v>4</v>
      </c>
      <c r="U7" s="87">
        <f t="shared" si="3"/>
        <v>1708.78</v>
      </c>
      <c r="V7" s="88">
        <f t="shared" si="4"/>
        <v>1100.98</v>
      </c>
      <c r="W7" s="89">
        <f t="shared" si="5"/>
        <v>1.81141823</v>
      </c>
      <c r="X7" s="87">
        <f t="shared" si="6"/>
        <v>868.78</v>
      </c>
    </row>
    <row r="8" ht="15.0" customHeight="1">
      <c r="A8" s="54" t="s">
        <v>45</v>
      </c>
      <c r="B8" s="82" t="str">
        <f t="array" ref="B8">IFERROR(xlookup(A8,Cards!A$3:A$61,Cards!C$3:C$61),"")</f>
        <v>Sanji</v>
      </c>
      <c r="C8" s="82" t="str">
        <f t="array" ref="C8">IFERROR(xlookup(A8,Cards!A$3:A$61,Cards!D$3:D$61),"")</f>
        <v>25th Anniversary Japanese</v>
      </c>
      <c r="D8" s="53">
        <f t="array" ref="D8">IFERROR(xlookup(A8,Cards!A6:A1005,Cards!K6:K1005),"")</f>
        <v>607.8</v>
      </c>
      <c r="E8" s="83">
        <f t="array" ref="E8">IFERROR(xlookup(A8,'CGC Pop Rates'!A$3:A$61,'CGC Pop Rates'!H$3:H$61),"")</f>
        <v>0.630952381</v>
      </c>
      <c r="F8" s="83">
        <f t="array" ref="F8">IFERROR(xlookup(A8,'CGC Pop Rates'!A$3:A$61,'CGC Pop Rates'!I$3:I$61),"")</f>
        <v>0.2586580087</v>
      </c>
      <c r="G8" s="83">
        <f t="array" ref="G8">IFERROR(xlookup(A8,'CGC Pop Rates'!A$3:A$61,'CGC Pop Rates'!J$3:J$61),"")</f>
        <v>0.07142857143</v>
      </c>
      <c r="H8" s="83">
        <f t="array" ref="H8">IFERROR(xlookup(A8,'CGC Pop Rates'!A$3:A$61,'CGC Pop Rates'!K$3:K$61),"")</f>
        <v>0.03896103896</v>
      </c>
      <c r="I8" s="82" t="str">
        <f t="array" ref="I8">IFERROR(xlookup(A8,'CGC Pop Rates'!A$3:A$61,'CGC Pop Rates'!D$3:D$61),"")</f>
        <v>Yes</v>
      </c>
      <c r="J8" s="53">
        <v>1250.0</v>
      </c>
      <c r="K8" s="84">
        <f t="array" ref="K8">IFERROR(xlookup(A8,'Market Prices'!A$3:A$61,'Market Prices'!F$3:F$61),"")</f>
        <v>60</v>
      </c>
      <c r="L8" s="53">
        <f t="array" ref="L8">IFERROR(xlookup(A8,'Market Prices'!A$3:A$61,'Market Prices'!E$3:E$61),"")</f>
        <v>30</v>
      </c>
      <c r="M8" s="53">
        <f t="array" ref="M8">IFERROR(xlookup(A8,'Market Prices'!A$3:A$61,'Market Prices'!D$3:D$61),"")</f>
        <v>20</v>
      </c>
      <c r="N8" s="53">
        <f t="array" ref="N8">IFERROR(xlookup(A8,'Market Prices'!A$3:A$61,'Market Prices'!C$3:C$61),"")</f>
        <v>17.39</v>
      </c>
      <c r="O8" s="85">
        <f t="array" ref="O8">IFERROR(IF(AND(A8&lt;&gt;"",E8&lt;&gt;""),ROUNDDOWN(xlookup(A8,Cards!A$3:A$61,Cards!E$3:E$61)*E8,0),""),"")</f>
        <v>12</v>
      </c>
      <c r="P8" s="85">
        <f t="array" ref="P8">IFERROR(IF(AND(A8&lt;&gt;"",F8&lt;&gt;""),ROUNDDOWN(xlookup(A8,Cards!A$3:A$61,Cards!E$3:E$61)*F8,0),""),"")</f>
        <v>5</v>
      </c>
      <c r="Q8" s="85">
        <f t="array" ref="Q8">IFERROR(IF(AND(A8&lt;&gt;"",G8&lt;&gt;""),ROUNDUP(xlookup(A8,Cards!A$3:A$61,Cards!E$3:E$61)*G8,0),""),"")</f>
        <v>2</v>
      </c>
      <c r="R8" s="85">
        <f t="array" ref="R8">IFERROR(IF(AND(A8&lt;&gt;"",H8&lt;&gt;""),ROUNDUP(xlookup(A8,Cards!A$3:A$61,Cards!E$3:E$61)*H8,0),""),"")</f>
        <v>1</v>
      </c>
      <c r="S8" s="86">
        <f t="shared" si="1"/>
        <v>7</v>
      </c>
      <c r="T8" s="85">
        <f t="shared" si="2"/>
        <v>5</v>
      </c>
      <c r="U8" s="87">
        <f t="shared" si="3"/>
        <v>927.39</v>
      </c>
      <c r="V8" s="88">
        <f t="shared" si="4"/>
        <v>319.59</v>
      </c>
      <c r="W8" s="89">
        <f t="shared" si="5"/>
        <v>0.5258144126</v>
      </c>
      <c r="X8" s="87">
        <f t="shared" si="6"/>
        <v>507.39</v>
      </c>
    </row>
    <row r="9" ht="15.0" customHeight="1">
      <c r="A9" s="49" t="s">
        <v>47</v>
      </c>
      <c r="B9" s="82" t="str">
        <f t="array" ref="B9">IFERROR(xlookup(A9,Cards!A$3:A$61,Cards!C$3:C$61),"")</f>
        <v>Brook</v>
      </c>
      <c r="C9" s="82" t="str">
        <f t="array" ref="C9">IFERROR(xlookup(A9,Cards!A$3:A$61,Cards!D$3:D$61),"")</f>
        <v>25th Anniversary Japanese</v>
      </c>
      <c r="D9" s="53">
        <f t="array" ref="D9">IFERROR(xlookup(A9,Cards!A7:A1006,Cards!K7:K1006),"")</f>
        <v>607.8</v>
      </c>
      <c r="E9" s="83">
        <f t="array" ref="E9">IFERROR(xlookup(A9,'CGC Pop Rates'!A$3:A$61,'CGC Pop Rates'!H$3:H$61),"")</f>
        <v>0.3855072464</v>
      </c>
      <c r="F9" s="83">
        <f t="array" ref="F9">IFERROR(xlookup(A9,'CGC Pop Rates'!A$3:A$61,'CGC Pop Rates'!I$3:I$61),"")</f>
        <v>0.3594202899</v>
      </c>
      <c r="G9" s="83">
        <f t="array" ref="G9">IFERROR(xlookup(A9,'CGC Pop Rates'!A$3:A$61,'CGC Pop Rates'!J$3:J$61),"")</f>
        <v>0.1304347826</v>
      </c>
      <c r="H9" s="83">
        <f t="array" ref="H9">IFERROR(xlookup(A9,'CGC Pop Rates'!A$3:A$61,'CGC Pop Rates'!K$3:K$61),"")</f>
        <v>0.1246376812</v>
      </c>
      <c r="I9" s="82" t="str">
        <f t="array" ref="I9">IFERROR(xlookup(A9,'CGC Pop Rates'!A$3:A$61,'CGC Pop Rates'!D$3:D$61),"")</f>
        <v>Yes</v>
      </c>
      <c r="J9" s="53">
        <v>1250.0</v>
      </c>
      <c r="K9" s="84">
        <f t="array" ref="K9">IFERROR(xlookup(A9,'Market Prices'!A$3:A$61,'Market Prices'!F$3:F$61),"")</f>
        <v>60</v>
      </c>
      <c r="L9" s="53">
        <f t="array" ref="L9">IFERROR(xlookup(A9,'Market Prices'!A$3:A$61,'Market Prices'!E$3:E$61),"")</f>
        <v>25</v>
      </c>
      <c r="M9" s="53">
        <f t="array" ref="M9">IFERROR(xlookup(A9,'Market Prices'!A$3:A$61,'Market Prices'!D$3:D$61),"")</f>
        <v>20</v>
      </c>
      <c r="N9" s="53">
        <f t="array" ref="N9">IFERROR(xlookup(A9,'Market Prices'!A$3:A$61,'Market Prices'!C$3:C$61),"")</f>
        <v>17.39</v>
      </c>
      <c r="O9" s="85">
        <f t="array" ref="O9">IFERROR(IF(AND(A9&lt;&gt;"",E9&lt;&gt;""),ROUNDDOWN(xlookup(A9,Cards!A$3:A$61,Cards!E$3:E$61)*E9,0),""),"")</f>
        <v>7</v>
      </c>
      <c r="P9" s="85">
        <f t="array" ref="P9">IFERROR(IF(AND(A9&lt;&gt;"",F9&lt;&gt;""),ROUNDDOWN(xlookup(A9,Cards!A$3:A$61,Cards!E$3:E$61)*F9,0),""),"")</f>
        <v>7</v>
      </c>
      <c r="Q9" s="85">
        <f t="array" ref="Q9">IFERROR(IF(AND(A9&lt;&gt;"",G9&lt;&gt;""),ROUNDUP(xlookup(A9,Cards!A$3:A$61,Cards!E$3:E$61)*G9,0),""),"")</f>
        <v>3</v>
      </c>
      <c r="R9" s="85">
        <f t="array" ref="R9">IFERROR(IF(AND(A9&lt;&gt;"",H9&lt;&gt;""),ROUNDUP(xlookup(A9,Cards!A$3:A$61,Cards!E$3:E$61)*H9,0),""),"")</f>
        <v>3</v>
      </c>
      <c r="S9" s="86">
        <f t="shared" si="1"/>
        <v>7</v>
      </c>
      <c r="T9" s="85">
        <f t="shared" si="2"/>
        <v>0</v>
      </c>
      <c r="U9" s="87">
        <f t="shared" si="3"/>
        <v>707.17</v>
      </c>
      <c r="V9" s="88">
        <f t="shared" si="4"/>
        <v>99.37</v>
      </c>
      <c r="W9" s="89">
        <f t="shared" si="5"/>
        <v>0.16349128</v>
      </c>
      <c r="X9" s="87">
        <f t="shared" si="6"/>
        <v>287.17</v>
      </c>
    </row>
    <row r="10" ht="15.0" customHeight="1">
      <c r="A10" s="54" t="s">
        <v>49</v>
      </c>
      <c r="B10" s="82" t="str">
        <f t="array" ref="B10">IFERROR(xlookup(A10,Cards!A$3:A$61,Cards!C$3:C$61),"")</f>
        <v>Jinbe</v>
      </c>
      <c r="C10" s="82" t="str">
        <f t="array" ref="C10">IFERROR(xlookup(A10,Cards!A$3:A$61,Cards!D$3:D$61),"")</f>
        <v>25th Anniversary Japanese</v>
      </c>
      <c r="D10" s="53">
        <f t="array" ref="D10">IFERROR(xlookup(A10,Cards!A8:A1007,Cards!K8:K1007),"")</f>
        <v>607.8</v>
      </c>
      <c r="E10" s="83">
        <f t="array" ref="E10">IFERROR(xlookup(A10,'CGC Pop Rates'!A$3:A$61,'CGC Pop Rates'!H$3:H$61),"")</f>
        <v>0.5133614627</v>
      </c>
      <c r="F10" s="83">
        <f t="array" ref="F10">IFERROR(xlookup(A10,'CGC Pop Rates'!A$3:A$61,'CGC Pop Rates'!I$3:I$61),"")</f>
        <v>0.3319268636</v>
      </c>
      <c r="G10" s="83">
        <f t="array" ref="G10">IFERROR(xlookup(A10,'CGC Pop Rates'!A$3:A$61,'CGC Pop Rates'!J$3:J$61),"")</f>
        <v>0.1026722925</v>
      </c>
      <c r="H10" s="83">
        <f t="array" ref="H10">IFERROR(xlookup(A10,'CGC Pop Rates'!A$3:A$61,'CGC Pop Rates'!K$3:K$61),"")</f>
        <v>0.05203938115</v>
      </c>
      <c r="I10" s="82" t="str">
        <f t="array" ref="I10">IFERROR(xlookup(A10,'CGC Pop Rates'!A$3:A$61,'CGC Pop Rates'!D$3:D$61),"")</f>
        <v>Yes</v>
      </c>
      <c r="J10" s="53">
        <v>1250.0</v>
      </c>
      <c r="K10" s="84">
        <f t="array" ref="K10">IFERROR(xlookup(A10,'Market Prices'!A$3:A$61,'Market Prices'!F$3:F$61),"")</f>
        <v>65</v>
      </c>
      <c r="L10" s="53">
        <f t="array" ref="L10">IFERROR(xlookup(A10,'Market Prices'!A$3:A$61,'Market Prices'!E$3:E$61),"")</f>
        <v>30</v>
      </c>
      <c r="M10" s="53">
        <f t="array" ref="M10">IFERROR(xlookup(A10,'Market Prices'!A$3:A$61,'Market Prices'!D$3:D$61),"")</f>
        <v>20</v>
      </c>
      <c r="N10" s="53">
        <f t="array" ref="N10">IFERROR(xlookup(A10,'Market Prices'!A$3:A$61,'Market Prices'!C$3:C$61),"")</f>
        <v>17.39</v>
      </c>
      <c r="O10" s="85">
        <f t="array" ref="O10">IFERROR(IF(AND(A10&lt;&gt;"",E10&lt;&gt;""),ROUNDDOWN(xlookup(A10,Cards!A$3:A$61,Cards!E$3:E$61)*E10,0),""),"")</f>
        <v>10</v>
      </c>
      <c r="P10" s="85">
        <f t="array" ref="P10">IFERROR(IF(AND(A10&lt;&gt;"",F10&lt;&gt;""),ROUNDDOWN(xlookup(A10,Cards!A$3:A$61,Cards!E$3:E$61)*F10,0),""),"")</f>
        <v>6</v>
      </c>
      <c r="Q10" s="85">
        <f t="array" ref="Q10">IFERROR(IF(AND(A10&lt;&gt;"",G10&lt;&gt;""),ROUNDUP(xlookup(A10,Cards!A$3:A$61,Cards!E$3:E$61)*G10,0),""),"")</f>
        <v>3</v>
      </c>
      <c r="R10" s="85">
        <f t="array" ref="R10">IFERROR(IF(AND(A10&lt;&gt;"",H10&lt;&gt;""),ROUNDUP(xlookup(A10,Cards!A$3:A$61,Cards!E$3:E$61)*H10,0),""),"")</f>
        <v>2</v>
      </c>
      <c r="S10" s="86">
        <f t="shared" si="1"/>
        <v>7</v>
      </c>
      <c r="T10" s="85">
        <f t="shared" si="2"/>
        <v>3</v>
      </c>
      <c r="U10" s="87">
        <f t="shared" si="3"/>
        <v>924.78</v>
      </c>
      <c r="V10" s="88">
        <f t="shared" si="4"/>
        <v>316.98</v>
      </c>
      <c r="W10" s="89">
        <f t="shared" si="5"/>
        <v>0.5215202369</v>
      </c>
      <c r="X10" s="87">
        <f t="shared" si="6"/>
        <v>469.78</v>
      </c>
    </row>
    <row r="11" ht="15.0" customHeight="1">
      <c r="A11" s="49" t="s">
        <v>51</v>
      </c>
      <c r="B11" s="82" t="str">
        <f t="array" ref="B11">IFERROR(xlookup(A11,Cards!A$3:A$61,Cards!C$3:C$61),"")</f>
        <v>Franky</v>
      </c>
      <c r="C11" s="82" t="str">
        <f t="array" ref="C11">IFERROR(xlookup(A11,Cards!A$3:A$61,Cards!D$3:D$61),"")</f>
        <v>25th Anniversary Japanese</v>
      </c>
      <c r="D11" s="53">
        <f t="array" ref="D11">IFERROR(xlookup(A11,Cards!A9:A1008,Cards!K9:K1008),"")</f>
        <v>607.8</v>
      </c>
      <c r="E11" s="83">
        <f t="array" ref="E11">IFERROR(xlookup(A11,'CGC Pop Rates'!A$3:A$61,'CGC Pop Rates'!H$3:H$61),"")</f>
        <v>0.5114006515</v>
      </c>
      <c r="F11" s="83">
        <f t="array" ref="F11">IFERROR(xlookup(A11,'CGC Pop Rates'!A$3:A$61,'CGC Pop Rates'!I$3:I$61),"")</f>
        <v>0.348534202</v>
      </c>
      <c r="G11" s="83">
        <f t="array" ref="G11">IFERROR(xlookup(A11,'CGC Pop Rates'!A$3:A$61,'CGC Pop Rates'!J$3:J$61),"")</f>
        <v>0.1009771987</v>
      </c>
      <c r="H11" s="83">
        <f t="array" ref="H11">IFERROR(xlookup(A11,'CGC Pop Rates'!A$3:A$61,'CGC Pop Rates'!K$3:K$61),"")</f>
        <v>0.03908794788</v>
      </c>
      <c r="I11" s="82" t="str">
        <f t="array" ref="I11">IFERROR(xlookup(A11,'CGC Pop Rates'!A$3:A$61,'CGC Pop Rates'!D$3:D$61),"")</f>
        <v>Yes</v>
      </c>
      <c r="J11" s="53">
        <v>1250.0</v>
      </c>
      <c r="K11" s="84">
        <f t="array" ref="K11">IFERROR(xlookup(A11,'Market Prices'!A$3:A$61,'Market Prices'!F$3:F$61),"")</f>
        <v>40</v>
      </c>
      <c r="L11" s="53">
        <f t="array" ref="L11">IFERROR(xlookup(A11,'Market Prices'!A$3:A$61,'Market Prices'!E$3:E$61),"")</f>
        <v>20</v>
      </c>
      <c r="M11" s="53">
        <f t="array" ref="M11">IFERROR(xlookup(A11,'Market Prices'!A$3:A$61,'Market Prices'!D$3:D$61),"")</f>
        <v>20</v>
      </c>
      <c r="N11" s="53">
        <f t="array" ref="N11">IFERROR(xlookup(A11,'Market Prices'!A$3:A$61,'Market Prices'!C$3:C$61),"")</f>
        <v>17.39</v>
      </c>
      <c r="O11" s="85">
        <f t="array" ref="O11">IFERROR(IF(AND(A11&lt;&gt;"",E11&lt;&gt;""),ROUNDDOWN(xlookup(A11,Cards!A$3:A$61,Cards!E$3:E$61)*E11,0),""),"")</f>
        <v>10</v>
      </c>
      <c r="P11" s="85">
        <f t="array" ref="P11">IFERROR(IF(AND(A11&lt;&gt;"",F11&lt;&gt;""),ROUNDDOWN(xlookup(A11,Cards!A$3:A$61,Cards!E$3:E$61)*F11,0),""),"")</f>
        <v>6</v>
      </c>
      <c r="Q11" s="85">
        <f t="array" ref="Q11">IFERROR(IF(AND(A11&lt;&gt;"",G11&lt;&gt;""),ROUNDUP(xlookup(A11,Cards!A$3:A$61,Cards!E$3:E$61)*G11,0),""),"")</f>
        <v>3</v>
      </c>
      <c r="R11" s="85">
        <f t="array" ref="R11">IFERROR(IF(AND(A11&lt;&gt;"",H11&lt;&gt;""),ROUNDUP(xlookup(A11,Cards!A$3:A$61,Cards!E$3:E$61)*H11,0),""),"")</f>
        <v>1</v>
      </c>
      <c r="S11" s="86">
        <f t="shared" si="1"/>
        <v>7</v>
      </c>
      <c r="T11" s="85">
        <f t="shared" si="2"/>
        <v>3</v>
      </c>
      <c r="U11" s="87">
        <f t="shared" si="3"/>
        <v>597.39</v>
      </c>
      <c r="V11" s="88">
        <f t="shared" si="4"/>
        <v>-10.41</v>
      </c>
      <c r="W11" s="89">
        <f t="shared" si="5"/>
        <v>-0.01712734452</v>
      </c>
      <c r="X11" s="87">
        <f t="shared" si="6"/>
        <v>317.39</v>
      </c>
    </row>
    <row r="12" ht="15.0" customHeight="1">
      <c r="A12" s="54" t="s">
        <v>53</v>
      </c>
      <c r="B12" s="82" t="str">
        <f t="array" ref="B12">IFERROR(xlookup(A12,Cards!A$3:A$61,Cards!C$3:C$61),"")</f>
        <v>Usopp</v>
      </c>
      <c r="C12" s="82" t="str">
        <f t="array" ref="C12">IFERROR(xlookup(A12,Cards!A$3:A$61,Cards!D$3:D$61),"")</f>
        <v>25th Anniversary Japanese</v>
      </c>
      <c r="D12" s="53">
        <f t="array" ref="D12">IFERROR(xlookup(A12,Cards!A10:A1009,Cards!K10:K1009),"")</f>
        <v>607.8</v>
      </c>
      <c r="E12" s="83">
        <f t="array" ref="E12">IFERROR(xlookup(A12,'CGC Pop Rates'!A$3:A$61,'CGC Pop Rates'!H$3:H$61),"")</f>
        <v>0.5158227848</v>
      </c>
      <c r="F12" s="83">
        <f t="array" ref="F12">IFERROR(xlookup(A12,'CGC Pop Rates'!A$3:A$61,'CGC Pop Rates'!I$3:I$61),"")</f>
        <v>0.3196202532</v>
      </c>
      <c r="G12" s="83">
        <f t="array" ref="G12">IFERROR(xlookup(A12,'CGC Pop Rates'!A$3:A$61,'CGC Pop Rates'!J$3:J$61),"")</f>
        <v>0.1155063291</v>
      </c>
      <c r="H12" s="83">
        <f t="array" ref="H12">IFERROR(xlookup(A12,'CGC Pop Rates'!A$3:A$61,'CGC Pop Rates'!K$3:K$61),"")</f>
        <v>0.04905063291</v>
      </c>
      <c r="I12" s="82" t="str">
        <f t="array" ref="I12">IFERROR(xlookup(A12,'CGC Pop Rates'!A$3:A$61,'CGC Pop Rates'!D$3:D$61),"")</f>
        <v>Yes</v>
      </c>
      <c r="J12" s="53">
        <v>1250.0</v>
      </c>
      <c r="K12" s="84">
        <f t="array" ref="K12">IFERROR(xlookup(A12,'Market Prices'!A$3:A$61,'Market Prices'!F$3:F$61),"")</f>
        <v>40</v>
      </c>
      <c r="L12" s="53">
        <f t="array" ref="L12">IFERROR(xlookup(A12,'Market Prices'!A$3:A$61,'Market Prices'!E$3:E$61),"")</f>
        <v>22</v>
      </c>
      <c r="M12" s="53">
        <f t="array" ref="M12">IFERROR(xlookup(A12,'Market Prices'!A$3:A$61,'Market Prices'!D$3:D$61),"")</f>
        <v>20</v>
      </c>
      <c r="N12" s="53">
        <f t="array" ref="N12">IFERROR(xlookup(A12,'Market Prices'!A$3:A$61,'Market Prices'!C$3:C$61),"")</f>
        <v>17.39</v>
      </c>
      <c r="O12" s="85">
        <f t="array" ref="O12">IFERROR(IF(AND(A12&lt;&gt;"",E12&lt;&gt;""),ROUNDDOWN(xlookup(A12,Cards!A$3:A$61,Cards!E$3:E$61)*E12,0),""),"")</f>
        <v>10</v>
      </c>
      <c r="P12" s="85">
        <f t="array" ref="P12">IFERROR(IF(AND(A12&lt;&gt;"",F12&lt;&gt;""),ROUNDDOWN(xlookup(A12,Cards!A$3:A$61,Cards!E$3:E$61)*F12,0),""),"")</f>
        <v>6</v>
      </c>
      <c r="Q12" s="85">
        <f t="array" ref="Q12">IFERROR(IF(AND(A12&lt;&gt;"",G12&lt;&gt;""),ROUNDUP(xlookup(A12,Cards!A$3:A$61,Cards!E$3:E$61)*G12,0),""),"")</f>
        <v>3</v>
      </c>
      <c r="R12" s="85">
        <f t="array" ref="R12">IFERROR(IF(AND(A12&lt;&gt;"",H12&lt;&gt;""),ROUNDUP(xlookup(A12,Cards!A$3:A$61,Cards!E$3:E$61)*H12,0),""),"")</f>
        <v>1</v>
      </c>
      <c r="S12" s="86">
        <f t="shared" si="1"/>
        <v>7</v>
      </c>
      <c r="T12" s="85">
        <f t="shared" si="2"/>
        <v>3</v>
      </c>
      <c r="U12" s="87">
        <f t="shared" si="3"/>
        <v>609.39</v>
      </c>
      <c r="V12" s="88">
        <f t="shared" si="4"/>
        <v>1.59</v>
      </c>
      <c r="W12" s="89">
        <f t="shared" si="5"/>
        <v>0.002615992103</v>
      </c>
      <c r="X12" s="87">
        <f t="shared" si="6"/>
        <v>329.39</v>
      </c>
    </row>
    <row r="13" ht="15.0" customHeight="1">
      <c r="A13" s="49" t="s">
        <v>55</v>
      </c>
      <c r="B13" s="82" t="str">
        <f t="array" ref="B13">IFERROR(xlookup(A13,Cards!A$3:A$61,Cards!C$3:C$61),"")</f>
        <v>Monkey.D.Luffy</v>
      </c>
      <c r="C13" s="82" t="str">
        <f t="array" ref="C13">IFERROR(xlookup(A13,Cards!A$3:A$61,Cards!D$3:D$61),"")</f>
        <v>Base Shop Collection Vol. 1</v>
      </c>
      <c r="D13" s="53">
        <f t="array" ref="D13">IFERROR(xlookup(A13,Cards!A11:A1010,Cards!K11:K1010),"")</f>
        <v>1648.5</v>
      </c>
      <c r="E13" s="83">
        <f t="array" ref="E13">IFERROR(xlookup(A13,'CGC Pop Rates'!A$3:A$61,'CGC Pop Rates'!H$3:H$61),"")</f>
        <v>0.6726618705</v>
      </c>
      <c r="F13" s="83">
        <f t="array" ref="F13">IFERROR(xlookup(A13,'CGC Pop Rates'!A$3:A$61,'CGC Pop Rates'!I$3:I$61),"")</f>
        <v>0.2589928058</v>
      </c>
      <c r="G13" s="83">
        <f t="array" ref="G13">IFERROR(xlookup(A13,'CGC Pop Rates'!A$3:A$61,'CGC Pop Rates'!J$3:J$61),"")</f>
        <v>0.04676258993</v>
      </c>
      <c r="H13" s="83">
        <f t="array" ref="H13">IFERROR(xlookup(A13,'CGC Pop Rates'!A$3:A$61,'CGC Pop Rates'!K$3:K$61),"")</f>
        <v>0.02158273381</v>
      </c>
      <c r="I13" s="82" t="str">
        <f t="array" ref="I13">IFERROR(xlookup(A13,'CGC Pop Rates'!A$3:A$61,'CGC Pop Rates'!D$3:D$61),"")</f>
        <v>Yes</v>
      </c>
      <c r="J13" s="53">
        <v>610.0</v>
      </c>
      <c r="K13" s="84">
        <f t="array" ref="K13">IFERROR(xlookup(A13,'Market Prices'!A$3:A$61,'Market Prices'!F$3:F$61),"")</f>
        <v>160</v>
      </c>
      <c r="L13" s="53">
        <f t="array" ref="L13">IFERROR(xlookup(A13,'Market Prices'!A$3:A$61,'Market Prices'!E$3:E$61),"")</f>
        <v>120</v>
      </c>
      <c r="M13" s="53">
        <f t="array" ref="M13">IFERROR(xlookup(A13,'Market Prices'!A$3:A$61,'Market Prices'!D$3:D$61),"")</f>
        <v>20</v>
      </c>
      <c r="N13" s="53">
        <f t="array" ref="N13">IFERROR(xlookup(A13,'Market Prices'!A$3:A$61,'Market Prices'!C$3:C$61),"")</f>
        <v>19.97</v>
      </c>
      <c r="O13" s="85">
        <f t="array" ref="O13">IFERROR(IF(AND(A13&lt;&gt;"",E13&lt;&gt;""),ROUNDDOWN(xlookup(A13,Cards!A$3:A$61,Cards!E$3:E$61)*E13,0),""),"")</f>
        <v>33</v>
      </c>
      <c r="P13" s="85">
        <f t="array" ref="P13">IFERROR(IF(AND(A13&lt;&gt;"",F13&lt;&gt;""),ROUNDDOWN(xlookup(A13,Cards!A$3:A$61,Cards!E$3:E$61)*F13,0),""),"")</f>
        <v>12</v>
      </c>
      <c r="Q13" s="85">
        <f t="array" ref="Q13">IFERROR(IF(AND(A13&lt;&gt;"",G13&lt;&gt;""),ROUNDUP(xlookup(A13,Cards!A$3:A$61,Cards!E$3:E$61)*G13,0),""),"")</f>
        <v>3</v>
      </c>
      <c r="R13" s="85">
        <f t="array" ref="R13">IFERROR(IF(AND(A13&lt;&gt;"",H13&lt;&gt;""),ROUNDUP(xlookup(A13,Cards!A$3:A$61,Cards!E$3:E$61)*H13,0),""),"")</f>
        <v>2</v>
      </c>
      <c r="S13" s="86">
        <f t="shared" si="1"/>
        <v>33</v>
      </c>
      <c r="T13" s="85">
        <f t="shared" si="2"/>
        <v>0</v>
      </c>
      <c r="U13" s="87">
        <f t="shared" si="3"/>
        <v>6819.94</v>
      </c>
      <c r="V13" s="88">
        <f t="shared" si="4"/>
        <v>5171.44</v>
      </c>
      <c r="W13" s="89">
        <f t="shared" si="5"/>
        <v>3.137057931</v>
      </c>
      <c r="X13" s="87">
        <f t="shared" si="6"/>
        <v>1539.94</v>
      </c>
    </row>
    <row r="14" ht="15.0" customHeight="1">
      <c r="A14" s="54" t="s">
        <v>57</v>
      </c>
      <c r="B14" s="82" t="str">
        <f t="array" ref="B14">IFERROR(xlookup(A14,Cards!A$3:A$61,Cards!C$3:C$61),"")</f>
        <v>Tony Tony Chopper</v>
      </c>
      <c r="C14" s="82" t="str">
        <f t="array" ref="C14">IFERROR(xlookup(A14,Cards!A$3:A$61,Cards!D$3:D$61),"")</f>
        <v>Base Shop Collection Vol. 1</v>
      </c>
      <c r="D14" s="53">
        <f t="array" ref="D14">IFERROR(xlookup(A14,Cards!A12:A1011,Cards!K12:K1011),"")</f>
        <v>1648.5</v>
      </c>
      <c r="E14" s="83">
        <f t="array" ref="E14">IFERROR(xlookup(A14,'CGC Pop Rates'!A$3:A$61,'CGC Pop Rates'!H$3:H$61),"")</f>
        <v>0.7120211361</v>
      </c>
      <c r="F14" s="83">
        <f t="array" ref="F14">IFERROR(xlookup(A14,'CGC Pop Rates'!A$3:A$61,'CGC Pop Rates'!I$3:I$61),"")</f>
        <v>0.2113606341</v>
      </c>
      <c r="G14" s="83">
        <f t="array" ref="G14">IFERROR(xlookup(A14,'CGC Pop Rates'!A$3:A$61,'CGC Pop Rates'!J$3:J$61),"")</f>
        <v>0.05812417437</v>
      </c>
      <c r="H14" s="83">
        <f t="array" ref="H14">IFERROR(xlookup(A14,'CGC Pop Rates'!A$3:A$61,'CGC Pop Rates'!K$3:K$61),"")</f>
        <v>0.01849405548</v>
      </c>
      <c r="I14" s="82" t="str">
        <f t="array" ref="I14">IFERROR(xlookup(A14,'CGC Pop Rates'!A$3:A$61,'CGC Pop Rates'!D$3:D$61),"")</f>
        <v>Yes</v>
      </c>
      <c r="J14" s="53">
        <v>610.0</v>
      </c>
      <c r="K14" s="84">
        <f t="array" ref="K14">IFERROR(xlookup(A14,'Market Prices'!A$3:A$61,'Market Prices'!F$3:F$61),"")</f>
        <v>96</v>
      </c>
      <c r="L14" s="53">
        <f t="array" ref="L14">IFERROR(xlookup(A14,'Market Prices'!A$3:A$61,'Market Prices'!E$3:E$61),"")</f>
        <v>45</v>
      </c>
      <c r="M14" s="53">
        <f t="array" ref="M14">IFERROR(xlookup(A14,'Market Prices'!A$3:A$61,'Market Prices'!D$3:D$61),"")</f>
        <v>20</v>
      </c>
      <c r="N14" s="53">
        <f t="array" ref="N14">IFERROR(xlookup(A14,'Market Prices'!A$3:A$61,'Market Prices'!C$3:C$61),"")</f>
        <v>19.97</v>
      </c>
      <c r="O14" s="85">
        <f t="array" ref="O14">IFERROR(IF(AND(A14&lt;&gt;"",E14&lt;&gt;""),ROUNDDOWN(xlookup(A14,Cards!A$3:A$61,Cards!E$3:E$61)*E14,0),""),"")</f>
        <v>35</v>
      </c>
      <c r="P14" s="85">
        <f t="array" ref="P14">IFERROR(IF(AND(A14&lt;&gt;"",F14&lt;&gt;""),ROUNDDOWN(xlookup(A14,Cards!A$3:A$61,Cards!E$3:E$61)*F14,0),""),"")</f>
        <v>10</v>
      </c>
      <c r="Q14" s="85">
        <f t="array" ref="Q14">IFERROR(IF(AND(A14&lt;&gt;"",G14&lt;&gt;""),ROUNDUP(xlookup(A14,Cards!A$3:A$61,Cards!E$3:E$61)*G14,0),""),"")</f>
        <v>3</v>
      </c>
      <c r="R14" s="85">
        <f t="array" ref="R14">IFERROR(IF(AND(A14&lt;&gt;"",H14&lt;&gt;""),ROUNDUP(xlookup(A14,Cards!A$3:A$61,Cards!E$3:E$61)*H14,0),""),"")</f>
        <v>1</v>
      </c>
      <c r="S14" s="86">
        <f t="shared" si="1"/>
        <v>33</v>
      </c>
      <c r="T14" s="85">
        <f t="shared" si="2"/>
        <v>2</v>
      </c>
      <c r="U14" s="87">
        <f t="shared" si="3"/>
        <v>3889.97</v>
      </c>
      <c r="V14" s="88">
        <f t="shared" si="4"/>
        <v>2241.47</v>
      </c>
      <c r="W14" s="89">
        <f t="shared" si="5"/>
        <v>1.35970276</v>
      </c>
      <c r="X14" s="87">
        <f t="shared" si="6"/>
        <v>721.97</v>
      </c>
    </row>
    <row r="15" ht="15.0" customHeight="1">
      <c r="A15" s="49" t="s">
        <v>58</v>
      </c>
      <c r="B15" s="82" t="str">
        <f t="array" ref="B15">IFERROR(xlookup(A15,Cards!A$3:A$61,Cards!C$3:C$61),"")</f>
        <v>Enel</v>
      </c>
      <c r="C15" s="82" t="str">
        <f t="array" ref="C15">IFERROR(xlookup(A15,Cards!A$3:A$61,Cards!D$3:D$61),"")</f>
        <v>Base Shop Collection Vol. 1</v>
      </c>
      <c r="D15" s="53">
        <f t="array" ref="D15">IFERROR(xlookup(A15,Cards!A13:A1012,Cards!K13:K1012),"")</f>
        <v>1648.5</v>
      </c>
      <c r="E15" s="83">
        <f t="array" ref="E15">IFERROR(xlookup(A15,'CGC Pop Rates'!A$3:A$61,'CGC Pop Rates'!H$3:H$61),"")</f>
        <v>0.7705570292</v>
      </c>
      <c r="F15" s="83">
        <f t="array" ref="F15">IFERROR(xlookup(A15,'CGC Pop Rates'!A$3:A$61,'CGC Pop Rates'!I$3:I$61),"")</f>
        <v>0.1777188329</v>
      </c>
      <c r="G15" s="83">
        <f t="array" ref="G15">IFERROR(xlookup(A15,'CGC Pop Rates'!A$3:A$61,'CGC Pop Rates'!J$3:J$61),"")</f>
        <v>0.03978779841</v>
      </c>
      <c r="H15" s="83">
        <f t="array" ref="H15">IFERROR(xlookup(A15,'CGC Pop Rates'!A$3:A$61,'CGC Pop Rates'!K$3:K$61),"")</f>
        <v>0.01193633952</v>
      </c>
      <c r="I15" s="82" t="str">
        <f t="array" ref="I15">IFERROR(xlookup(A15,'CGC Pop Rates'!A$3:A$61,'CGC Pop Rates'!D$3:D$61),"")</f>
        <v>Yes</v>
      </c>
      <c r="J15" s="53">
        <v>610.0</v>
      </c>
      <c r="K15" s="84">
        <f t="array" ref="K15">IFERROR(xlookup(A15,'Market Prices'!A$3:A$61,'Market Prices'!F$3:F$61),"")</f>
        <v>65</v>
      </c>
      <c r="L15" s="53">
        <f t="array" ref="L15">IFERROR(xlookup(A15,'Market Prices'!A$3:A$61,'Market Prices'!E$3:E$61),"")</f>
        <v>50</v>
      </c>
      <c r="M15" s="53">
        <f t="array" ref="M15">IFERROR(xlookup(A15,'Market Prices'!A$3:A$61,'Market Prices'!D$3:D$61),"")</f>
        <v>20</v>
      </c>
      <c r="N15" s="53">
        <f t="array" ref="N15">IFERROR(xlookup(A15,'Market Prices'!A$3:A$61,'Market Prices'!C$3:C$61),"")</f>
        <v>19.97</v>
      </c>
      <c r="O15" s="85">
        <f t="array" ref="O15">IFERROR(IF(AND(A15&lt;&gt;"",E15&lt;&gt;""),ROUNDDOWN(xlookup(A15,Cards!A$3:A$61,Cards!E$3:E$61)*E15,0),""),"")</f>
        <v>38</v>
      </c>
      <c r="P15" s="85">
        <f t="array" ref="P15">IFERROR(IF(AND(A15&lt;&gt;"",F15&lt;&gt;""),ROUNDDOWN(xlookup(A15,Cards!A$3:A$61,Cards!E$3:E$61)*F15,0),""),"")</f>
        <v>8</v>
      </c>
      <c r="Q15" s="85">
        <f t="array" ref="Q15">IFERROR(IF(AND(A15&lt;&gt;"",G15&lt;&gt;""),ROUNDUP(xlookup(A15,Cards!A$3:A$61,Cards!E$3:E$61)*G15,0),""),"")</f>
        <v>2</v>
      </c>
      <c r="R15" s="85">
        <f t="array" ref="R15">IFERROR(IF(AND(A15&lt;&gt;"",H15&lt;&gt;""),ROUNDUP(xlookup(A15,Cards!A$3:A$61,Cards!E$3:E$61)*H15,0),""),"")</f>
        <v>1</v>
      </c>
      <c r="S15" s="86">
        <f t="shared" si="1"/>
        <v>33</v>
      </c>
      <c r="T15" s="85">
        <f t="shared" si="2"/>
        <v>5</v>
      </c>
      <c r="U15" s="87">
        <f t="shared" si="3"/>
        <v>2929.97</v>
      </c>
      <c r="V15" s="88">
        <f t="shared" si="4"/>
        <v>1281.47</v>
      </c>
      <c r="W15" s="89">
        <f t="shared" si="5"/>
        <v>0.7773551714</v>
      </c>
      <c r="X15" s="87">
        <f t="shared" si="6"/>
        <v>784.97</v>
      </c>
    </row>
    <row r="16" ht="15.0" customHeight="1">
      <c r="A16" s="54" t="s">
        <v>60</v>
      </c>
      <c r="B16" s="82" t="str">
        <f t="array" ref="B16">IFERROR(xlookup(A16,Cards!A$3:A$61,Cards!C$3:C$61),"")</f>
        <v>Usopp</v>
      </c>
      <c r="C16" s="82" t="str">
        <f t="array" ref="C16">IFERROR(xlookup(A16,Cards!A$3:A$61,Cards!D$3:D$61),"")</f>
        <v>Base Shop Collection Vol. 1</v>
      </c>
      <c r="D16" s="53">
        <f t="array" ref="D16">IFERROR(xlookup(A16,Cards!A14:A1013,Cards!K14:K1013),"")</f>
        <v>1648.5</v>
      </c>
      <c r="E16" s="83">
        <f t="array" ref="E16">IFERROR(xlookup(A16,'CGC Pop Rates'!A$3:A$61,'CGC Pop Rates'!H$3:H$61),"")</f>
        <v>0.772327044</v>
      </c>
      <c r="F16" s="83">
        <f t="array" ref="F16">IFERROR(xlookup(A16,'CGC Pop Rates'!A$3:A$61,'CGC Pop Rates'!I$3:I$61),"")</f>
        <v>0.1597484277</v>
      </c>
      <c r="G16" s="83">
        <f t="array" ref="G16">IFERROR(xlookup(A16,'CGC Pop Rates'!A$3:A$61,'CGC Pop Rates'!J$3:J$61),"")</f>
        <v>0.05660377358</v>
      </c>
      <c r="H16" s="83">
        <f t="array" ref="H16">IFERROR(xlookup(A16,'CGC Pop Rates'!A$3:A$61,'CGC Pop Rates'!K$3:K$61),"")</f>
        <v>0.01132075472</v>
      </c>
      <c r="I16" s="82" t="str">
        <f t="array" ref="I16">IFERROR(xlookup(A16,'CGC Pop Rates'!A$3:A$61,'CGC Pop Rates'!D$3:D$61),"")</f>
        <v>Yes</v>
      </c>
      <c r="J16" s="53">
        <v>610.0</v>
      </c>
      <c r="K16" s="84">
        <f t="array" ref="K16">IFERROR(xlookup(A16,'Market Prices'!A$3:A$61,'Market Prices'!F$3:F$61),"")</f>
        <v>69</v>
      </c>
      <c r="L16" s="53">
        <f t="array" ref="L16">IFERROR(xlookup(A16,'Market Prices'!A$3:A$61,'Market Prices'!E$3:E$61),"")</f>
        <v>40</v>
      </c>
      <c r="M16" s="53">
        <f t="array" ref="M16">IFERROR(xlookup(A16,'Market Prices'!A$3:A$61,'Market Prices'!D$3:D$61),"")</f>
        <v>20</v>
      </c>
      <c r="N16" s="53">
        <f t="array" ref="N16">IFERROR(xlookup(A16,'Market Prices'!A$3:A$61,'Market Prices'!C$3:C$61),"")</f>
        <v>19.97</v>
      </c>
      <c r="O16" s="85">
        <f t="array" ref="O16">IFERROR(IF(AND(A16&lt;&gt;"",E16&lt;&gt;""),ROUNDDOWN(xlookup(A16,Cards!A$3:A$61,Cards!E$3:E$61)*E16,0),""),"")</f>
        <v>38</v>
      </c>
      <c r="P16" s="85">
        <f t="array" ref="P16">IFERROR(IF(AND(A16&lt;&gt;"",F16&lt;&gt;""),ROUNDDOWN(xlookup(A16,Cards!A$3:A$61,Cards!E$3:E$61)*F16,0),""),"")</f>
        <v>7</v>
      </c>
      <c r="Q16" s="85">
        <f t="array" ref="Q16">IFERROR(IF(AND(A16&lt;&gt;"",G16&lt;&gt;""),ROUNDUP(xlookup(A16,Cards!A$3:A$61,Cards!E$3:E$61)*G16,0),""),"")</f>
        <v>3</v>
      </c>
      <c r="R16" s="85">
        <f t="array" ref="R16">IFERROR(IF(AND(A16&lt;&gt;"",H16&lt;&gt;""),ROUNDUP(xlookup(A16,Cards!A$3:A$61,Cards!E$3:E$61)*H16,0),""),"")</f>
        <v>1</v>
      </c>
      <c r="S16" s="86">
        <f t="shared" si="1"/>
        <v>33</v>
      </c>
      <c r="T16" s="85">
        <f t="shared" si="2"/>
        <v>5</v>
      </c>
      <c r="U16" s="87">
        <f t="shared" si="3"/>
        <v>2981.97</v>
      </c>
      <c r="V16" s="88">
        <f t="shared" si="4"/>
        <v>1333.47</v>
      </c>
      <c r="W16" s="89">
        <f t="shared" si="5"/>
        <v>0.8088989991</v>
      </c>
      <c r="X16" s="87">
        <f t="shared" si="6"/>
        <v>704.97</v>
      </c>
    </row>
    <row r="17" ht="15.0" customHeight="1">
      <c r="A17" s="49" t="s">
        <v>61</v>
      </c>
      <c r="B17" s="82" t="str">
        <f t="array" ref="B17">IFERROR(xlookup(A17,Cards!A$3:A$61,Cards!C$3:C$61),"")</f>
        <v>Perona</v>
      </c>
      <c r="C17" s="82" t="str">
        <f t="array" ref="C17">IFERROR(xlookup(A17,Cards!A$3:A$61,Cards!D$3:D$61),"")</f>
        <v>Base Shop Collection Vol. 1</v>
      </c>
      <c r="D17" s="53">
        <f t="array" ref="D17">IFERROR(xlookup(A17,Cards!A15:A1014,Cards!K15:K1014),"")</f>
        <v>1648.5</v>
      </c>
      <c r="E17" s="83">
        <f t="array" ref="E17">IFERROR(xlookup(A17,'CGC Pop Rates'!A$3:A$61,'CGC Pop Rates'!H$3:H$61),"")</f>
        <v>0.7414965986</v>
      </c>
      <c r="F17" s="83">
        <f t="array" ref="F17">IFERROR(xlookup(A17,'CGC Pop Rates'!A$3:A$61,'CGC Pop Rates'!I$3:I$61),"")</f>
        <v>0.1863945578</v>
      </c>
      <c r="G17" s="83">
        <f t="array" ref="G17">IFERROR(xlookup(A17,'CGC Pop Rates'!A$3:A$61,'CGC Pop Rates'!J$3:J$61),"")</f>
        <v>0.03265306122</v>
      </c>
      <c r="H17" s="83">
        <f t="array" ref="H17">IFERROR(xlookup(A17,'CGC Pop Rates'!A$3:A$61,'CGC Pop Rates'!K$3:K$61),"")</f>
        <v>0.03945578231</v>
      </c>
      <c r="I17" s="82" t="str">
        <f t="array" ref="I17">IFERROR(xlookup(A17,'CGC Pop Rates'!A$3:A$61,'CGC Pop Rates'!D$3:D$61),"")</f>
        <v>Yes</v>
      </c>
      <c r="J17" s="53">
        <v>610.0</v>
      </c>
      <c r="K17" s="84">
        <f t="array" ref="K17">IFERROR(xlookup(A17,'Market Prices'!A$3:A$61,'Market Prices'!F$3:F$61),"")</f>
        <v>66</v>
      </c>
      <c r="L17" s="53">
        <f t="array" ref="L17">IFERROR(xlookup(A17,'Market Prices'!A$3:A$61,'Market Prices'!E$3:E$61),"")</f>
        <v>21</v>
      </c>
      <c r="M17" s="53">
        <f t="array" ref="M17">IFERROR(xlookup(A17,'Market Prices'!A$3:A$61,'Market Prices'!D$3:D$61),"")</f>
        <v>20</v>
      </c>
      <c r="N17" s="53">
        <f t="array" ref="N17">IFERROR(xlookup(A17,'Market Prices'!A$3:A$61,'Market Prices'!C$3:C$61),"")</f>
        <v>19.97</v>
      </c>
      <c r="O17" s="85">
        <f t="array" ref="O17">IFERROR(IF(AND(A17&lt;&gt;"",E17&lt;&gt;""),ROUNDDOWN(xlookup(A17,Cards!A$3:A$61,Cards!E$3:E$61)*E17,0),""),"")</f>
        <v>37</v>
      </c>
      <c r="P17" s="85">
        <f t="array" ref="P17">IFERROR(IF(AND(A17&lt;&gt;"",F17&lt;&gt;""),ROUNDDOWN(xlookup(A17,Cards!A$3:A$61,Cards!E$3:E$61)*F17,0),""),"")</f>
        <v>9</v>
      </c>
      <c r="Q17" s="85">
        <f t="array" ref="Q17">IFERROR(IF(AND(A17&lt;&gt;"",G17&lt;&gt;""),ROUNDUP(xlookup(A17,Cards!A$3:A$61,Cards!E$3:E$61)*G17,0),""),"")</f>
        <v>2</v>
      </c>
      <c r="R17" s="85">
        <f t="array" ref="R17">IFERROR(IF(AND(A17&lt;&gt;"",H17&lt;&gt;""),ROUNDUP(xlookup(A17,Cards!A$3:A$61,Cards!E$3:E$61)*H17,0),""),"")</f>
        <v>2</v>
      </c>
      <c r="S17" s="86">
        <f t="shared" si="1"/>
        <v>33</v>
      </c>
      <c r="T17" s="85">
        <f t="shared" si="2"/>
        <v>4</v>
      </c>
      <c r="U17" s="87">
        <f t="shared" si="3"/>
        <v>2710.94</v>
      </c>
      <c r="V17" s="88">
        <f t="shared" si="4"/>
        <v>1062.44</v>
      </c>
      <c r="W17" s="89">
        <f t="shared" si="5"/>
        <v>0.6444889293</v>
      </c>
      <c r="X17" s="87">
        <f t="shared" si="6"/>
        <v>532.94</v>
      </c>
    </row>
    <row r="18" ht="15.0" customHeight="1">
      <c r="A18" s="54" t="s">
        <v>63</v>
      </c>
      <c r="B18" s="82" t="str">
        <f t="array" ref="B18">IFERROR(xlookup(A18,Cards!A$3:A$61,Cards!C$3:C$61),"")</f>
        <v>Sugar</v>
      </c>
      <c r="C18" s="82" t="str">
        <f t="array" ref="C18">IFERROR(xlookup(A18,Cards!A$3:A$61,Cards!D$3:D$61),"")</f>
        <v>Base Shop Collection Vol. 1</v>
      </c>
      <c r="D18" s="53">
        <f t="array" ref="D18">IFERROR(xlookup(A18,Cards!A16:A1015,Cards!K16:K1015),"")</f>
        <v>1648.5</v>
      </c>
      <c r="E18" s="83">
        <f t="array" ref="E18">IFERROR(xlookup(A18,'CGC Pop Rates'!A$3:A$61,'CGC Pop Rates'!H$3:H$61),"")</f>
        <v>0.7661691542</v>
      </c>
      <c r="F18" s="83">
        <f t="array" ref="F18">IFERROR(xlookup(A18,'CGC Pop Rates'!A$3:A$61,'CGC Pop Rates'!I$3:I$61),"")</f>
        <v>0.171641791</v>
      </c>
      <c r="G18" s="83">
        <f t="array" ref="G18">IFERROR(xlookup(A18,'CGC Pop Rates'!A$3:A$61,'CGC Pop Rates'!J$3:J$61),"")</f>
        <v>0.04228855721</v>
      </c>
      <c r="H18" s="83">
        <f t="array" ref="H18">IFERROR(xlookup(A18,'CGC Pop Rates'!A$3:A$61,'CGC Pop Rates'!K$3:K$61),"")</f>
        <v>0.01990049751</v>
      </c>
      <c r="I18" s="82" t="str">
        <f t="array" ref="I18">IFERROR(xlookup(A18,'CGC Pop Rates'!A$3:A$61,'CGC Pop Rates'!D$3:D$61),"")</f>
        <v>Yes</v>
      </c>
      <c r="J18" s="53">
        <v>610.0</v>
      </c>
      <c r="K18" s="84">
        <f t="array" ref="K18">IFERROR(xlookup(A18,'Market Prices'!A$3:A$61,'Market Prices'!F$3:F$61),"")</f>
        <v>60</v>
      </c>
      <c r="L18" s="53">
        <f t="array" ref="L18">IFERROR(xlookup(A18,'Market Prices'!A$3:A$61,'Market Prices'!E$3:E$61),"")</f>
        <v>28</v>
      </c>
      <c r="M18" s="53">
        <f t="array" ref="M18">IFERROR(xlookup(A18,'Market Prices'!A$3:A$61,'Market Prices'!D$3:D$61),"")</f>
        <v>20</v>
      </c>
      <c r="N18" s="53">
        <f t="array" ref="N18">IFERROR(xlookup(A18,'Market Prices'!A$3:A$61,'Market Prices'!C$3:C$61),"")</f>
        <v>19.97</v>
      </c>
      <c r="O18" s="85">
        <f t="array" ref="O18">IFERROR(IF(AND(A18&lt;&gt;"",E18&lt;&gt;""),ROUNDDOWN(xlookup(A18,Cards!A$3:A$61,Cards!E$3:E$61)*E18,0),""),"")</f>
        <v>38</v>
      </c>
      <c r="P18" s="85">
        <f t="array" ref="P18">IFERROR(IF(AND(A18&lt;&gt;"",F18&lt;&gt;""),ROUNDDOWN(xlookup(A18,Cards!A$3:A$61,Cards!E$3:E$61)*F18,0),""),"")</f>
        <v>8</v>
      </c>
      <c r="Q18" s="85">
        <f t="array" ref="Q18">IFERROR(IF(AND(A18&lt;&gt;"",G18&lt;&gt;""),ROUNDUP(xlookup(A18,Cards!A$3:A$61,Cards!E$3:E$61)*G18,0),""),"")</f>
        <v>3</v>
      </c>
      <c r="R18" s="85">
        <f t="array" ref="R18">IFERROR(IF(AND(A18&lt;&gt;"",H18&lt;&gt;""),ROUNDUP(xlookup(A18,Cards!A$3:A$61,Cards!E$3:E$61)*H18,0),""),"")</f>
        <v>1</v>
      </c>
      <c r="S18" s="86">
        <f t="shared" si="1"/>
        <v>33</v>
      </c>
      <c r="T18" s="85">
        <f t="shared" si="2"/>
        <v>5</v>
      </c>
      <c r="U18" s="87">
        <f t="shared" si="3"/>
        <v>2583.97</v>
      </c>
      <c r="V18" s="88">
        <f t="shared" si="4"/>
        <v>935.47</v>
      </c>
      <c r="W18" s="89">
        <f t="shared" si="5"/>
        <v>0.5674673946</v>
      </c>
      <c r="X18" s="87">
        <f t="shared" si="6"/>
        <v>603.97</v>
      </c>
    </row>
    <row r="19" ht="15.0" customHeight="1">
      <c r="A19" s="49" t="s">
        <v>65</v>
      </c>
      <c r="B19" s="82" t="str">
        <f t="array" ref="B19">IFERROR(xlookup(A19,Cards!A$3:A$61,Cards!C$3:C$61),"")</f>
        <v>Monkey.D.Luffy</v>
      </c>
      <c r="C19" s="82" t="str">
        <f t="array" ref="C19">IFERROR(xlookup(A19,Cards!A$3:A$61,Cards!D$3:D$61),"")</f>
        <v>Kumamoto Special</v>
      </c>
      <c r="D19" s="53">
        <f t="array" ref="D19">IFERROR(xlookup(A19,Cards!A17:A1016,Cards!K17:K1016),"")</f>
        <v>841.6</v>
      </c>
      <c r="E19" s="83">
        <f t="array" ref="E19">IFERROR(xlookup(A19,'CGC Pop Rates'!A$3:A$61,'CGC Pop Rates'!H$3:H$61),"")</f>
        <v>0.4952380952</v>
      </c>
      <c r="F19" s="83">
        <f t="array" ref="F19">IFERROR(xlookup(A19,'CGC Pop Rates'!A$3:A$61,'CGC Pop Rates'!I$3:I$61),"")</f>
        <v>0.3857142857</v>
      </c>
      <c r="G19" s="83">
        <f t="array" ref="G19">IFERROR(xlookup(A19,'CGC Pop Rates'!A$3:A$61,'CGC Pop Rates'!J$3:J$61),"")</f>
        <v>0.09523809524</v>
      </c>
      <c r="H19" s="83">
        <f t="array" ref="H19">IFERROR(xlookup(A19,'CGC Pop Rates'!A$3:A$61,'CGC Pop Rates'!K$3:K$61),"")</f>
        <v>0.02380952381</v>
      </c>
      <c r="I19" s="82" t="str">
        <f t="array" ref="I19">IFERROR(xlookup(A19,'CGC Pop Rates'!A$3:A$61,'CGC Pop Rates'!D$3:D$61),"")</f>
        <v>Yes</v>
      </c>
      <c r="J19" s="53">
        <v>3000.0</v>
      </c>
      <c r="K19" s="84">
        <f t="array" ref="K19">IFERROR(xlookup(A19,'Market Prices'!A$3:A$61,'Market Prices'!F$3:F$61),"")</f>
        <v>680</v>
      </c>
      <c r="L19" s="53">
        <f t="array" ref="L19">IFERROR(xlookup(A19,'Market Prices'!A$3:A$61,'Market Prices'!E$3:E$61),"")</f>
        <v>220</v>
      </c>
      <c r="M19" s="53">
        <f t="array" ref="M19">IFERROR(xlookup(A19,'Market Prices'!A$3:A$61,'Market Prices'!D$3:D$61),"")</f>
        <v>120</v>
      </c>
      <c r="N19" s="53">
        <f t="array" ref="N19">IFERROR(xlookup(A19,'Market Prices'!A$3:A$61,'Market Prices'!C$3:C$61),"")</f>
        <v>29.08</v>
      </c>
      <c r="O19" s="85">
        <f t="array" ref="O19">IFERROR(IF(AND(A19&lt;&gt;"",E19&lt;&gt;""),ROUNDDOWN(xlookup(A19,Cards!A$3:A$61,Cards!E$3:E$61)*E19,0),""),"")</f>
        <v>9</v>
      </c>
      <c r="P19" s="85">
        <f t="array" ref="P19">IFERROR(IF(AND(A19&lt;&gt;"",F19&lt;&gt;""),ROUNDDOWN(xlookup(A19,Cards!A$3:A$61,Cards!E$3:E$61)*F19,0),""),"")</f>
        <v>7</v>
      </c>
      <c r="Q19" s="85">
        <f t="array" ref="Q19">IFERROR(IF(AND(A19&lt;&gt;"",G19&lt;&gt;""),ROUNDUP(xlookup(A19,Cards!A$3:A$61,Cards!E$3:E$61)*G19,0),""),"")</f>
        <v>2</v>
      </c>
      <c r="R19" s="85">
        <f t="array" ref="R19">IFERROR(IF(AND(A19&lt;&gt;"",H19&lt;&gt;""),ROUNDUP(xlookup(A19,Cards!A$3:A$61,Cards!E$3:E$61)*H19,0),""),"")</f>
        <v>1</v>
      </c>
      <c r="S19" s="86">
        <f t="shared" si="1"/>
        <v>9</v>
      </c>
      <c r="T19" s="85">
        <f t="shared" si="2"/>
        <v>0</v>
      </c>
      <c r="U19" s="87">
        <f t="shared" si="3"/>
        <v>7929.08</v>
      </c>
      <c r="V19" s="88">
        <f t="shared" si="4"/>
        <v>7087.48</v>
      </c>
      <c r="W19" s="89">
        <f t="shared" si="5"/>
        <v>8.421435361</v>
      </c>
      <c r="X19" s="87">
        <f t="shared" si="6"/>
        <v>1809.08</v>
      </c>
    </row>
    <row r="20" ht="15.0" customHeight="1">
      <c r="A20" s="49" t="s">
        <v>67</v>
      </c>
      <c r="B20" s="82" t="str">
        <f t="array" ref="B20">IFERROR(xlookup(A20,Cards!A$3:A$61,Cards!C$3:C$61),"")</f>
        <v>Tony Tony Chopper</v>
      </c>
      <c r="C20" s="82" t="str">
        <f t="array" ref="C20">IFERROR(xlookup(A20,Cards!A$3:A$61,Cards!D$3:D$61),"")</f>
        <v>Kumamoto Special</v>
      </c>
      <c r="D20" s="53">
        <f t="array" ref="D20">IFERROR(xlookup(A20,Cards!A18:A1017,Cards!K18:K1017),"")</f>
        <v>841.6</v>
      </c>
      <c r="E20" s="83">
        <f t="array" ref="E20">IFERROR(xlookup(A20,'CGC Pop Rates'!A$3:A$61,'CGC Pop Rates'!H$3:H$61),"")</f>
        <v>0.5634517766</v>
      </c>
      <c r="F20" s="83">
        <f t="array" ref="F20">IFERROR(xlookup(A20,'CGC Pop Rates'!A$3:A$61,'CGC Pop Rates'!I$3:I$61),"")</f>
        <v>0.3248730964</v>
      </c>
      <c r="G20" s="83">
        <f t="array" ref="G20">IFERROR(xlookup(A20,'CGC Pop Rates'!A$3:A$61,'CGC Pop Rates'!J$3:J$61),"")</f>
        <v>0.1015228426</v>
      </c>
      <c r="H20" s="83">
        <f t="array" ref="H20">IFERROR(xlookup(A20,'CGC Pop Rates'!A$3:A$61,'CGC Pop Rates'!K$3:K$61),"")</f>
        <v>0.01015228426</v>
      </c>
      <c r="I20" s="82" t="str">
        <f t="array" ref="I20">IFERROR(xlookup(A20,'CGC Pop Rates'!A$3:A$61,'CGC Pop Rates'!D$3:D$61),"")</f>
        <v>Yes</v>
      </c>
      <c r="J20" s="53">
        <v>3000.0</v>
      </c>
      <c r="K20" s="84">
        <f t="array" ref="K20">IFERROR(xlookup(A20,'Market Prices'!A$3:A$61,'Market Prices'!F$3:F$61),"")</f>
        <v>220</v>
      </c>
      <c r="L20" s="53">
        <f t="array" ref="L20">IFERROR(xlookup(A20,'Market Prices'!A$3:A$61,'Market Prices'!E$3:E$61),"")</f>
        <v>110</v>
      </c>
      <c r="M20" s="53">
        <f t="array" ref="M20">IFERROR(xlookup(A20,'Market Prices'!A$3:A$61,'Market Prices'!D$3:D$61),"")</f>
        <v>42</v>
      </c>
      <c r="N20" s="53">
        <f t="array" ref="N20">IFERROR(xlookup(A20,'Market Prices'!A$3:A$61,'Market Prices'!C$3:C$61),"")</f>
        <v>29.08</v>
      </c>
      <c r="O20" s="85">
        <f t="array" ref="O20">IFERROR(IF(AND(A20&lt;&gt;"",E20&lt;&gt;""),ROUNDDOWN(xlookup(A20,Cards!A$3:A$61,Cards!E$3:E$61)*E20,0),""),"")</f>
        <v>11</v>
      </c>
      <c r="P20" s="85">
        <f t="array" ref="P20">IFERROR(IF(AND(A20&lt;&gt;"",F20&lt;&gt;""),ROUNDDOWN(xlookup(A20,Cards!A$3:A$61,Cards!E$3:E$61)*F20,0),""),"")</f>
        <v>6</v>
      </c>
      <c r="Q20" s="85">
        <f t="array" ref="Q20">IFERROR(IF(AND(A20&lt;&gt;"",G20&lt;&gt;""),ROUNDUP(xlookup(A20,Cards!A$3:A$61,Cards!E$3:E$61)*G20,0),""),"")</f>
        <v>3</v>
      </c>
      <c r="R20" s="85">
        <f t="array" ref="R20">IFERROR(IF(AND(A20&lt;&gt;"",H20&lt;&gt;""),ROUNDUP(xlookup(A20,Cards!A$3:A$61,Cards!E$3:E$61)*H20,0),""),"")</f>
        <v>1</v>
      </c>
      <c r="S20" s="86">
        <f t="shared" si="1"/>
        <v>9</v>
      </c>
      <c r="T20" s="85">
        <f t="shared" si="2"/>
        <v>2</v>
      </c>
      <c r="U20" s="87">
        <f t="shared" si="3"/>
        <v>3235.08</v>
      </c>
      <c r="V20" s="88">
        <f t="shared" si="4"/>
        <v>2393.48</v>
      </c>
      <c r="W20" s="89">
        <f t="shared" si="5"/>
        <v>2.843963878</v>
      </c>
      <c r="X20" s="87">
        <f t="shared" si="6"/>
        <v>1255.08</v>
      </c>
    </row>
    <row r="21" ht="15.0" customHeight="1">
      <c r="A21" s="49" t="s">
        <v>68</v>
      </c>
      <c r="B21" s="82" t="str">
        <f t="array" ref="B21">IFERROR(xlookup(A21,Cards!A$3:A$61,Cards!C$3:C$61),"")</f>
        <v>Nami</v>
      </c>
      <c r="C21" s="82" t="str">
        <f t="array" ref="C21">IFERROR(xlookup(A21,Cards!A$3:A$61,Cards!D$3:D$61),"")</f>
        <v>Kumamoto Special</v>
      </c>
      <c r="D21" s="53">
        <f t="array" ref="D21">IFERROR(xlookup(A21,Cards!A19:A1018,Cards!K19:K1018),"")</f>
        <v>841.6</v>
      </c>
      <c r="E21" s="83">
        <f t="array" ref="E21">IFERROR(xlookup(A21,'CGC Pop Rates'!A$3:A$61,'CGC Pop Rates'!H$3:H$61),"")</f>
        <v>0.6326530612</v>
      </c>
      <c r="F21" s="83">
        <f t="array" ref="F21">IFERROR(xlookup(A21,'CGC Pop Rates'!A$3:A$61,'CGC Pop Rates'!I$3:I$61),"")</f>
        <v>0.2704081633</v>
      </c>
      <c r="G21" s="83">
        <f t="array" ref="G21">IFERROR(xlookup(A21,'CGC Pop Rates'!A$3:A$61,'CGC Pop Rates'!J$3:J$61),"")</f>
        <v>0.07142857143</v>
      </c>
      <c r="H21" s="83">
        <f t="array" ref="H21">IFERROR(xlookup(A21,'CGC Pop Rates'!A$3:A$61,'CGC Pop Rates'!K$3:K$61),"")</f>
        <v>0.02551020408</v>
      </c>
      <c r="I21" s="82" t="str">
        <f t="array" ref="I21">IFERROR(xlookup(A21,'CGC Pop Rates'!A$3:A$61,'CGC Pop Rates'!D$3:D$61),"")</f>
        <v>Yes</v>
      </c>
      <c r="J21" s="53">
        <v>3000.0</v>
      </c>
      <c r="K21" s="84">
        <f t="array" ref="K21">IFERROR(xlookup(A21,'Market Prices'!A$3:A$61,'Market Prices'!F$3:F$61),"")</f>
        <v>202</v>
      </c>
      <c r="L21" s="53">
        <f t="array" ref="L21">IFERROR(xlookup(A21,'Market Prices'!A$3:A$61,'Market Prices'!E$3:E$61),"")</f>
        <v>150</v>
      </c>
      <c r="M21" s="53">
        <f t="array" ref="M21">IFERROR(xlookup(A21,'Market Prices'!A$3:A$61,'Market Prices'!D$3:D$61),"")</f>
        <v>38</v>
      </c>
      <c r="N21" s="53">
        <f t="array" ref="N21">IFERROR(xlookup(A21,'Market Prices'!A$3:A$61,'Market Prices'!C$3:C$61),"")</f>
        <v>29.08</v>
      </c>
      <c r="O21" s="85">
        <f t="array" ref="O21">IFERROR(IF(AND(A21&lt;&gt;"",E21&lt;&gt;""),ROUNDDOWN(xlookup(A21,Cards!A$3:A$61,Cards!E$3:E$61)*E21,0),""),"")</f>
        <v>12</v>
      </c>
      <c r="P21" s="85">
        <f t="array" ref="P21">IFERROR(IF(AND(A21&lt;&gt;"",F21&lt;&gt;""),ROUNDDOWN(xlookup(A21,Cards!A$3:A$61,Cards!E$3:E$61)*F21,0),""),"")</f>
        <v>5</v>
      </c>
      <c r="Q21" s="85">
        <f t="array" ref="Q21">IFERROR(IF(AND(A21&lt;&gt;"",G21&lt;&gt;""),ROUNDUP(xlookup(A21,Cards!A$3:A$61,Cards!E$3:E$61)*G21,0),""),"")</f>
        <v>2</v>
      </c>
      <c r="R21" s="85">
        <f t="array" ref="R21">IFERROR(IF(AND(A21&lt;&gt;"",H21&lt;&gt;""),ROUNDUP(xlookup(A21,Cards!A$3:A$61,Cards!E$3:E$61)*H21,0),""),"")</f>
        <v>1</v>
      </c>
      <c r="S21" s="86">
        <f t="shared" si="1"/>
        <v>9</v>
      </c>
      <c r="T21" s="85">
        <f t="shared" si="2"/>
        <v>3</v>
      </c>
      <c r="U21" s="87">
        <f t="shared" si="3"/>
        <v>3279.08</v>
      </c>
      <c r="V21" s="88">
        <f t="shared" si="4"/>
        <v>2437.48</v>
      </c>
      <c r="W21" s="89">
        <f t="shared" si="5"/>
        <v>2.896245247</v>
      </c>
      <c r="X21" s="87">
        <f t="shared" si="6"/>
        <v>1461.08</v>
      </c>
    </row>
    <row r="22" ht="15.0" customHeight="1">
      <c r="A22" s="49" t="s">
        <v>69</v>
      </c>
      <c r="B22" s="82" t="str">
        <f t="array" ref="B22">IFERROR(xlookup(A22,Cards!A$3:A$61,Cards!C$3:C$61),"")</f>
        <v>Roronoa Zoro</v>
      </c>
      <c r="C22" s="82" t="str">
        <f t="array" ref="C22">IFERROR(xlookup(A22,Cards!A$3:A$61,Cards!D$3:D$61),"")</f>
        <v>Kumamoto Special</v>
      </c>
      <c r="D22" s="53">
        <f t="array" ref="D22">IFERROR(xlookup(A22,Cards!A20:A1019,Cards!K20:K1019),"")</f>
        <v>841.6</v>
      </c>
      <c r="E22" s="83">
        <f t="array" ref="E22">IFERROR(xlookup(A22,'CGC Pop Rates'!A$3:A$61,'CGC Pop Rates'!H$3:H$61),"")</f>
        <v>0.4771573604</v>
      </c>
      <c r="F22" s="83">
        <f t="array" ref="F22">IFERROR(xlookup(A22,'CGC Pop Rates'!A$3:A$61,'CGC Pop Rates'!I$3:I$61),"")</f>
        <v>0.4162436548</v>
      </c>
      <c r="G22" s="83">
        <f t="array" ref="G22">IFERROR(xlookup(A22,'CGC Pop Rates'!A$3:A$61,'CGC Pop Rates'!J$3:J$61),"")</f>
        <v>0.1015228426</v>
      </c>
      <c r="H22" s="83">
        <f t="array" ref="H22">IFERROR(xlookup(A22,'CGC Pop Rates'!A$3:A$61,'CGC Pop Rates'!K$3:K$61),"")</f>
        <v>0.005076142132</v>
      </c>
      <c r="I22" s="82" t="str">
        <f t="array" ref="I22">IFERROR(xlookup(A22,'CGC Pop Rates'!A$3:A$61,'CGC Pop Rates'!D$3:D$61),"")</f>
        <v>Yes</v>
      </c>
      <c r="J22" s="53">
        <v>3000.0</v>
      </c>
      <c r="K22" s="84">
        <f t="array" ref="K22">IFERROR(xlookup(A22,'Market Prices'!A$3:A$61,'Market Prices'!F$3:F$61),"")</f>
        <v>200</v>
      </c>
      <c r="L22" s="53">
        <f t="array" ref="L22">IFERROR(xlookup(A22,'Market Prices'!A$3:A$61,'Market Prices'!E$3:E$61),"")</f>
        <v>152</v>
      </c>
      <c r="M22" s="53">
        <f t="array" ref="M22">IFERROR(xlookup(A22,'Market Prices'!A$3:A$61,'Market Prices'!D$3:D$61),"")</f>
        <v>31</v>
      </c>
      <c r="N22" s="53">
        <f t="array" ref="N22">IFERROR(xlookup(A22,'Market Prices'!A$3:A$61,'Market Prices'!C$3:C$61),"")</f>
        <v>29.08</v>
      </c>
      <c r="O22" s="85">
        <f t="array" ref="O22">IFERROR(IF(AND(A22&lt;&gt;"",E22&lt;&gt;""),ROUNDDOWN(xlookup(A22,Cards!A$3:A$61,Cards!E$3:E$61)*E22,0),""),"")</f>
        <v>9</v>
      </c>
      <c r="P22" s="85">
        <f t="array" ref="P22">IFERROR(IF(AND(A22&lt;&gt;"",F22&lt;&gt;""),ROUNDDOWN(xlookup(A22,Cards!A$3:A$61,Cards!E$3:E$61)*F22,0),""),"")</f>
        <v>8</v>
      </c>
      <c r="Q22" s="85">
        <f t="array" ref="Q22">IFERROR(IF(AND(A22&lt;&gt;"",G22&lt;&gt;""),ROUNDUP(xlookup(A22,Cards!A$3:A$61,Cards!E$3:E$61)*G22,0),""),"")</f>
        <v>3</v>
      </c>
      <c r="R22" s="85">
        <f t="array" ref="R22">IFERROR(IF(AND(A22&lt;&gt;"",H22&lt;&gt;""),ROUNDUP(xlookup(A22,Cards!A$3:A$61,Cards!E$3:E$61)*H22,0),""),"")</f>
        <v>1</v>
      </c>
      <c r="S22" s="86">
        <f t="shared" si="1"/>
        <v>9</v>
      </c>
      <c r="T22" s="85">
        <f t="shared" si="2"/>
        <v>0</v>
      </c>
      <c r="U22" s="87">
        <f t="shared" si="3"/>
        <v>3138.08</v>
      </c>
      <c r="V22" s="88">
        <f t="shared" si="4"/>
        <v>2296.48</v>
      </c>
      <c r="W22" s="89">
        <f t="shared" si="5"/>
        <v>2.728707224</v>
      </c>
      <c r="X22" s="87">
        <f t="shared" si="6"/>
        <v>1338.08</v>
      </c>
    </row>
    <row r="23" ht="15.0" customHeight="1">
      <c r="A23" s="49" t="s">
        <v>70</v>
      </c>
      <c r="B23" s="82" t="str">
        <f t="array" ref="B23">IFERROR(xlookup(A23,Cards!A$3:A$61,Cards!C$3:C$61),"")</f>
        <v>Nico Robin</v>
      </c>
      <c r="C23" s="82" t="str">
        <f t="array" ref="C23">IFERROR(xlookup(A23,Cards!A$3:A$61,Cards!D$3:D$61),"")</f>
        <v>Kumamoto Special</v>
      </c>
      <c r="D23" s="53">
        <f t="array" ref="D23">IFERROR(xlookup(A23,Cards!A21:A1020,Cards!K21:K1020),"")</f>
        <v>841.6</v>
      </c>
      <c r="E23" s="83">
        <f t="array" ref="E23">IFERROR(xlookup(A23,'CGC Pop Rates'!A$3:A$61,'CGC Pop Rates'!H$3:H$61),"")</f>
        <v>0.4972067039</v>
      </c>
      <c r="F23" s="83">
        <f t="array" ref="F23">IFERROR(xlookup(A23,'CGC Pop Rates'!A$3:A$61,'CGC Pop Rates'!I$3:I$61),"")</f>
        <v>0.4134078212</v>
      </c>
      <c r="G23" s="83">
        <f t="array" ref="G23">IFERROR(xlookup(A23,'CGC Pop Rates'!A$3:A$61,'CGC Pop Rates'!J$3:J$61),"")</f>
        <v>0.0782122905</v>
      </c>
      <c r="H23" s="83">
        <f t="array" ref="H23">IFERROR(xlookup(A23,'CGC Pop Rates'!A$3:A$61,'CGC Pop Rates'!K$3:K$61),"")</f>
        <v>0.01117318436</v>
      </c>
      <c r="I23" s="82" t="str">
        <f t="array" ref="I23">IFERROR(xlookup(A23,'CGC Pop Rates'!A$3:A$61,'CGC Pop Rates'!D$3:D$61),"")</f>
        <v>Yes</v>
      </c>
      <c r="J23" s="53">
        <v>3000.0</v>
      </c>
      <c r="K23" s="84">
        <f t="array" ref="K23">IFERROR(xlookup(A23,'Market Prices'!A$3:A$61,'Market Prices'!F$3:F$61),"")</f>
        <v>150</v>
      </c>
      <c r="L23" s="53">
        <f t="array" ref="L23">IFERROR(xlookup(A23,'Market Prices'!A$3:A$61,'Market Prices'!E$3:E$61),"")</f>
        <v>75</v>
      </c>
      <c r="M23" s="53">
        <f t="array" ref="M23">IFERROR(xlookup(A23,'Market Prices'!A$3:A$61,'Market Prices'!D$3:D$61),"")</f>
        <v>33</v>
      </c>
      <c r="N23" s="53">
        <f t="array" ref="N23">IFERROR(xlookup(A23,'Market Prices'!A$3:A$61,'Market Prices'!C$3:C$61),"")</f>
        <v>29.08</v>
      </c>
      <c r="O23" s="85">
        <f t="array" ref="O23">IFERROR(IF(AND(A23&lt;&gt;"",E23&lt;&gt;""),ROUNDDOWN(xlookup(A23,Cards!A$3:A$61,Cards!E$3:E$61)*E23,0),""),"")</f>
        <v>9</v>
      </c>
      <c r="P23" s="85">
        <f t="array" ref="P23">IFERROR(IF(AND(A23&lt;&gt;"",F23&lt;&gt;""),ROUNDDOWN(xlookup(A23,Cards!A$3:A$61,Cards!E$3:E$61)*F23,0),""),"")</f>
        <v>8</v>
      </c>
      <c r="Q23" s="85">
        <f t="array" ref="Q23">IFERROR(IF(AND(A23&lt;&gt;"",G23&lt;&gt;""),ROUNDUP(xlookup(A23,Cards!A$3:A$61,Cards!E$3:E$61)*G23,0),""),"")</f>
        <v>2</v>
      </c>
      <c r="R23" s="85">
        <f t="array" ref="R23">IFERROR(IF(AND(A23&lt;&gt;"",H23&lt;&gt;""),ROUNDUP(xlookup(A23,Cards!A$3:A$61,Cards!E$3:E$61)*H23,0),""),"")</f>
        <v>1</v>
      </c>
      <c r="S23" s="86">
        <f t="shared" si="1"/>
        <v>9</v>
      </c>
      <c r="T23" s="85">
        <f t="shared" si="2"/>
        <v>0</v>
      </c>
      <c r="U23" s="87">
        <f t="shared" si="3"/>
        <v>2045.08</v>
      </c>
      <c r="V23" s="88">
        <f t="shared" si="4"/>
        <v>1203.48</v>
      </c>
      <c r="W23" s="89">
        <f t="shared" si="5"/>
        <v>1.429990494</v>
      </c>
      <c r="X23" s="87">
        <f t="shared" si="6"/>
        <v>695.08</v>
      </c>
    </row>
    <row r="24" ht="15.0" customHeight="1">
      <c r="A24" s="49" t="s">
        <v>71</v>
      </c>
      <c r="B24" s="82" t="str">
        <f t="array" ref="B24">IFERROR(xlookup(A24,Cards!A$3:A$61,Cards!C$3:C$61),"")</f>
        <v>Brook</v>
      </c>
      <c r="C24" s="82" t="str">
        <f t="array" ref="C24">IFERROR(xlookup(A24,Cards!A$3:A$61,Cards!D$3:D$61),"")</f>
        <v>Kumamoto Special</v>
      </c>
      <c r="D24" s="53">
        <f t="array" ref="D24">IFERROR(xlookup(A24,Cards!A22:A1021,Cards!K22:K1021),"")</f>
        <v>841.6</v>
      </c>
      <c r="E24" s="83">
        <f t="array" ref="E24">IFERROR(xlookup(A24,'CGC Pop Rates'!A$3:A$61,'CGC Pop Rates'!H$3:H$61),"")</f>
        <v>0.5517241379</v>
      </c>
      <c r="F24" s="83">
        <f t="array" ref="F24">IFERROR(xlookup(A24,'CGC Pop Rates'!A$3:A$61,'CGC Pop Rates'!I$3:I$61),"")</f>
        <v>0.3620689655</v>
      </c>
      <c r="G24" s="83">
        <f t="array" ref="G24">IFERROR(xlookup(A24,'CGC Pop Rates'!A$3:A$61,'CGC Pop Rates'!J$3:J$61),"")</f>
        <v>0.0632183908</v>
      </c>
      <c r="H24" s="83">
        <f t="array" ref="H24">IFERROR(xlookup(A24,'CGC Pop Rates'!A$3:A$61,'CGC Pop Rates'!K$3:K$61),"")</f>
        <v>0.02298850575</v>
      </c>
      <c r="I24" s="82" t="str">
        <f t="array" ref="I24">IFERROR(xlookup(A24,'CGC Pop Rates'!A$3:A$61,'CGC Pop Rates'!D$3:D$61),"")</f>
        <v>Yes</v>
      </c>
      <c r="J24" s="53">
        <v>3000.0</v>
      </c>
      <c r="K24" s="84">
        <f t="array" ref="K24">IFERROR(xlookup(A24,'Market Prices'!A$3:A$61,'Market Prices'!F$3:F$61),"")</f>
        <v>100</v>
      </c>
      <c r="L24" s="53">
        <f t="array" ref="L24">IFERROR(xlookup(A24,'Market Prices'!A$3:A$61,'Market Prices'!E$3:E$61),"")</f>
        <v>50</v>
      </c>
      <c r="M24" s="53">
        <f t="array" ref="M24">IFERROR(xlookup(A24,'Market Prices'!A$3:A$61,'Market Prices'!D$3:D$61),"")</f>
        <v>24</v>
      </c>
      <c r="N24" s="53">
        <f t="array" ref="N24">IFERROR(xlookup(A24,'Market Prices'!A$3:A$61,'Market Prices'!C$3:C$61),"")</f>
        <v>29.08</v>
      </c>
      <c r="O24" s="85">
        <f t="array" ref="O24">IFERROR(IF(AND(A24&lt;&gt;"",E24&lt;&gt;""),ROUNDDOWN(xlookup(A24,Cards!A$3:A$61,Cards!E$3:E$61)*E24,0),""),"")</f>
        <v>11</v>
      </c>
      <c r="P24" s="85">
        <f t="array" ref="P24">IFERROR(IF(AND(A24&lt;&gt;"",F24&lt;&gt;""),ROUNDDOWN(xlookup(A24,Cards!A$3:A$61,Cards!E$3:E$61)*F24,0),""),"")</f>
        <v>7</v>
      </c>
      <c r="Q24" s="85">
        <f t="array" ref="Q24">IFERROR(IF(AND(A24&lt;&gt;"",G24&lt;&gt;""),ROUNDUP(xlookup(A24,Cards!A$3:A$61,Cards!E$3:E$61)*G24,0),""),"")</f>
        <v>2</v>
      </c>
      <c r="R24" s="85">
        <f t="array" ref="R24">IFERROR(IF(AND(A24&lt;&gt;"",H24&lt;&gt;""),ROUNDUP(xlookup(A24,Cards!A$3:A$61,Cards!E$3:E$61)*H24,0),""),"")</f>
        <v>1</v>
      </c>
      <c r="S24" s="86">
        <f t="shared" si="1"/>
        <v>9</v>
      </c>
      <c r="T24" s="85">
        <f t="shared" si="2"/>
        <v>2</v>
      </c>
      <c r="U24" s="87">
        <f t="shared" si="3"/>
        <v>1527.08</v>
      </c>
      <c r="V24" s="88">
        <f t="shared" si="4"/>
        <v>685.48</v>
      </c>
      <c r="W24" s="89">
        <f t="shared" si="5"/>
        <v>0.8144961977</v>
      </c>
      <c r="X24" s="87">
        <f t="shared" si="6"/>
        <v>627.08</v>
      </c>
    </row>
    <row r="25" ht="15.0" customHeight="1">
      <c r="A25" s="49" t="s">
        <v>72</v>
      </c>
      <c r="B25" s="82" t="str">
        <f t="array" ref="B25">IFERROR(xlookup(A25,Cards!A$3:A$61,Cards!C$3:C$61),"")</f>
        <v>Sanji</v>
      </c>
      <c r="C25" s="82" t="str">
        <f t="array" ref="C25">IFERROR(xlookup(A25,Cards!A$3:A$61,Cards!D$3:D$61),"")</f>
        <v>Kumamoto Special</v>
      </c>
      <c r="D25" s="53">
        <f t="array" ref="D25">IFERROR(xlookup(A25,Cards!A23:A1022,Cards!K23:K1022),"")</f>
        <v>841.6</v>
      </c>
      <c r="E25" s="83">
        <f t="array" ref="E25">IFERROR(xlookup(A25,'CGC Pop Rates'!A$3:A$61,'CGC Pop Rates'!H$3:H$61),"")</f>
        <v>0.4838709677</v>
      </c>
      <c r="F25" s="83">
        <f t="array" ref="F25">IFERROR(xlookup(A25,'CGC Pop Rates'!A$3:A$61,'CGC Pop Rates'!I$3:I$61),"")</f>
        <v>0.3924731183</v>
      </c>
      <c r="G25" s="83">
        <f t="array" ref="G25">IFERROR(xlookup(A25,'CGC Pop Rates'!A$3:A$61,'CGC Pop Rates'!J$3:J$61),"")</f>
        <v>0.06989247312</v>
      </c>
      <c r="H25" s="83">
        <f t="array" ref="H25">IFERROR(xlookup(A25,'CGC Pop Rates'!A$3:A$61,'CGC Pop Rates'!K$3:K$61),"")</f>
        <v>0.05376344086</v>
      </c>
      <c r="I25" s="82" t="str">
        <f t="array" ref="I25">IFERROR(xlookup(A25,'CGC Pop Rates'!A$3:A$61,'CGC Pop Rates'!D$3:D$61),"")</f>
        <v>Yes</v>
      </c>
      <c r="J25" s="53">
        <v>3000.0</v>
      </c>
      <c r="K25" s="84">
        <f t="array" ref="K25">IFERROR(xlookup(A25,'Market Prices'!A$3:A$61,'Market Prices'!F$3:F$61),"")</f>
        <v>120</v>
      </c>
      <c r="L25" s="53">
        <f t="array" ref="L25">IFERROR(xlookup(A25,'Market Prices'!A$3:A$61,'Market Prices'!E$3:E$61),"")</f>
        <v>61</v>
      </c>
      <c r="M25" s="53">
        <f t="array" ref="M25">IFERROR(xlookup(A25,'Market Prices'!A$3:A$61,'Market Prices'!D$3:D$61),"")</f>
        <v>28</v>
      </c>
      <c r="N25" s="53">
        <f t="array" ref="N25">IFERROR(xlookup(A25,'Market Prices'!A$3:A$61,'Market Prices'!C$3:C$61),"")</f>
        <v>29.08</v>
      </c>
      <c r="O25" s="85">
        <f t="array" ref="O25">IFERROR(IF(AND(A25&lt;&gt;"",E25&lt;&gt;""),ROUNDDOWN(xlookup(A25,Cards!A$3:A$61,Cards!E$3:E$61)*E25,0),""),"")</f>
        <v>9</v>
      </c>
      <c r="P25" s="85">
        <f t="array" ref="P25">IFERROR(IF(AND(A25&lt;&gt;"",F25&lt;&gt;""),ROUNDDOWN(xlookup(A25,Cards!A$3:A$61,Cards!E$3:E$61)*F25,0),""),"")</f>
        <v>7</v>
      </c>
      <c r="Q25" s="85">
        <f t="array" ref="Q25">IFERROR(IF(AND(A25&lt;&gt;"",G25&lt;&gt;""),ROUNDUP(xlookup(A25,Cards!A$3:A$61,Cards!E$3:E$61)*G25,0),""),"")</f>
        <v>2</v>
      </c>
      <c r="R25" s="85">
        <f t="array" ref="R25">IFERROR(IF(AND(A25&lt;&gt;"",H25&lt;&gt;""),ROUNDUP(xlookup(A25,Cards!A$3:A$61,Cards!E$3:E$61)*H25,0),""),"")</f>
        <v>2</v>
      </c>
      <c r="S25" s="86">
        <f t="shared" si="1"/>
        <v>9</v>
      </c>
      <c r="T25" s="85">
        <f t="shared" si="2"/>
        <v>0</v>
      </c>
      <c r="U25" s="87">
        <f t="shared" si="3"/>
        <v>1621.16</v>
      </c>
      <c r="V25" s="88">
        <f t="shared" si="4"/>
        <v>779.56</v>
      </c>
      <c r="W25" s="89">
        <f t="shared" si="5"/>
        <v>0.92628327</v>
      </c>
      <c r="X25" s="87">
        <f t="shared" si="6"/>
        <v>541.16</v>
      </c>
    </row>
    <row r="26" ht="15.0" customHeight="1">
      <c r="A26" s="49" t="s">
        <v>73</v>
      </c>
      <c r="B26" s="82" t="str">
        <f t="array" ref="B26">IFERROR(xlookup(A26,Cards!A$3:A$61,Cards!C$3:C$61),"")</f>
        <v>Jinbe</v>
      </c>
      <c r="C26" s="82" t="str">
        <f t="array" ref="C26">IFERROR(xlookup(A26,Cards!A$3:A$61,Cards!D$3:D$61),"")</f>
        <v>Kumamoto Special</v>
      </c>
      <c r="D26" s="53">
        <f t="array" ref="D26">IFERROR(xlookup(A26,Cards!A24:A1023,Cards!K24:K1023),"")</f>
        <v>841.6</v>
      </c>
      <c r="E26" s="83">
        <f t="array" ref="E26">IFERROR(xlookup(A26,'CGC Pop Rates'!A$3:A$61,'CGC Pop Rates'!H$3:H$61),"")</f>
        <v>0.4632768362</v>
      </c>
      <c r="F26" s="83">
        <f t="array" ref="F26">IFERROR(xlookup(A26,'CGC Pop Rates'!A$3:A$61,'CGC Pop Rates'!I$3:I$61),"")</f>
        <v>0.395480226</v>
      </c>
      <c r="G26" s="83">
        <f t="array" ref="G26">IFERROR(xlookup(A26,'CGC Pop Rates'!A$3:A$61,'CGC Pop Rates'!J$3:J$61),"")</f>
        <v>0.1186440678</v>
      </c>
      <c r="H26" s="83">
        <f t="array" ref="H26">IFERROR(xlookup(A26,'CGC Pop Rates'!A$3:A$61,'CGC Pop Rates'!K$3:K$61),"")</f>
        <v>0.02259887006</v>
      </c>
      <c r="I26" s="82" t="str">
        <f t="array" ref="I26">IFERROR(xlookup(A26,'CGC Pop Rates'!A$3:A$61,'CGC Pop Rates'!D$3:D$61),"")</f>
        <v>Yes</v>
      </c>
      <c r="J26" s="53">
        <v>3000.0</v>
      </c>
      <c r="K26" s="84">
        <f t="array" ref="K26">IFERROR(xlookup(A26,'Market Prices'!A$3:A$61,'Market Prices'!F$3:F$61),"")</f>
        <v>100</v>
      </c>
      <c r="L26" s="53">
        <f t="array" ref="L26">IFERROR(xlookup(A26,'Market Prices'!A$3:A$61,'Market Prices'!E$3:E$61),"")</f>
        <v>50</v>
      </c>
      <c r="M26" s="53">
        <f t="array" ref="M26">IFERROR(xlookup(A26,'Market Prices'!A$3:A$61,'Market Prices'!D$3:D$61),"")</f>
        <v>22</v>
      </c>
      <c r="N26" s="53">
        <f t="array" ref="N26">IFERROR(xlookup(A26,'Market Prices'!A$3:A$61,'Market Prices'!C$3:C$61),"")</f>
        <v>29.08</v>
      </c>
      <c r="O26" s="85">
        <f t="array" ref="O26">IFERROR(IF(AND(A26&lt;&gt;"",E26&lt;&gt;""),ROUNDDOWN(xlookup(A26,Cards!A$3:A$61,Cards!E$3:E$61)*E26,0),""),"")</f>
        <v>9</v>
      </c>
      <c r="P26" s="85">
        <f t="array" ref="P26">IFERROR(IF(AND(A26&lt;&gt;"",F26&lt;&gt;""),ROUNDDOWN(xlookup(A26,Cards!A$3:A$61,Cards!E$3:E$61)*F26,0),""),"")</f>
        <v>7</v>
      </c>
      <c r="Q26" s="85">
        <f t="array" ref="Q26">IFERROR(IF(AND(A26&lt;&gt;"",G26&lt;&gt;""),ROUNDUP(xlookup(A26,Cards!A$3:A$61,Cards!E$3:E$61)*G26,0),""),"")</f>
        <v>3</v>
      </c>
      <c r="R26" s="85">
        <f t="array" ref="R26">IFERROR(IF(AND(A26&lt;&gt;"",H26&lt;&gt;""),ROUNDUP(xlookup(A26,Cards!A$3:A$61,Cards!E$3:E$61)*H26,0),""),"")</f>
        <v>1</v>
      </c>
      <c r="S26" s="86">
        <f t="shared" si="1"/>
        <v>9</v>
      </c>
      <c r="T26" s="85">
        <f t="shared" si="2"/>
        <v>0</v>
      </c>
      <c r="U26" s="87">
        <f t="shared" si="3"/>
        <v>1345.08</v>
      </c>
      <c r="V26" s="88">
        <f t="shared" si="4"/>
        <v>503.48</v>
      </c>
      <c r="W26" s="89">
        <f t="shared" si="5"/>
        <v>0.5982414449</v>
      </c>
      <c r="X26" s="87">
        <f t="shared" si="6"/>
        <v>445.08</v>
      </c>
    </row>
    <row r="27" ht="15.0" customHeight="1">
      <c r="A27" s="49" t="s">
        <v>74</v>
      </c>
      <c r="B27" s="82" t="str">
        <f t="array" ref="B27">IFERROR(xlookup(A27,Cards!A$3:A$61,Cards!C$3:C$61),"")</f>
        <v>Franky</v>
      </c>
      <c r="C27" s="82" t="str">
        <f t="array" ref="C27">IFERROR(xlookup(A27,Cards!A$3:A$61,Cards!D$3:D$61),"")</f>
        <v>Kumamoto Special</v>
      </c>
      <c r="D27" s="53">
        <f t="array" ref="D27">IFERROR(xlookup(A27,Cards!A25:A1024,Cards!K25:K1024),"")</f>
        <v>841.6</v>
      </c>
      <c r="E27" s="83">
        <f t="array" ref="E27">IFERROR(xlookup(A27,'CGC Pop Rates'!A$3:A$61,'CGC Pop Rates'!H$3:H$61),"")</f>
        <v>0.5222222222</v>
      </c>
      <c r="F27" s="83">
        <f t="array" ref="F27">IFERROR(xlookup(A27,'CGC Pop Rates'!A$3:A$61,'CGC Pop Rates'!I$3:I$61),"")</f>
        <v>0.3888888889</v>
      </c>
      <c r="G27" s="83">
        <f t="array" ref="G27">IFERROR(xlookup(A27,'CGC Pop Rates'!A$3:A$61,'CGC Pop Rates'!J$3:J$61),"")</f>
        <v>0.05555555556</v>
      </c>
      <c r="H27" s="83">
        <f t="array" ref="H27">IFERROR(xlookup(A27,'CGC Pop Rates'!A$3:A$61,'CGC Pop Rates'!K$3:K$61),"")</f>
        <v>0.03333333333</v>
      </c>
      <c r="I27" s="82" t="str">
        <f t="array" ref="I27">IFERROR(xlookup(A27,'CGC Pop Rates'!A$3:A$61,'CGC Pop Rates'!D$3:D$61),"")</f>
        <v>Yes</v>
      </c>
      <c r="J27" s="53">
        <v>3000.0</v>
      </c>
      <c r="K27" s="84">
        <f t="array" ref="K27">IFERROR(xlookup(A27,'Market Prices'!A$3:A$61,'Market Prices'!F$3:F$61),"")</f>
        <v>100</v>
      </c>
      <c r="L27" s="53">
        <f t="array" ref="L27">IFERROR(xlookup(A27,'Market Prices'!A$3:A$61,'Market Prices'!E$3:E$61),"")</f>
        <v>50</v>
      </c>
      <c r="M27" s="53">
        <f t="array" ref="M27">IFERROR(xlookup(A27,'Market Prices'!A$3:A$61,'Market Prices'!D$3:D$61),"")</f>
        <v>16</v>
      </c>
      <c r="N27" s="53">
        <f t="array" ref="N27">IFERROR(xlookup(A27,'Market Prices'!A$3:A$61,'Market Prices'!C$3:C$61),"")</f>
        <v>29.08</v>
      </c>
      <c r="O27" s="85">
        <f t="array" ref="O27">IFERROR(IF(AND(A27&lt;&gt;"",E27&lt;&gt;""),ROUNDDOWN(xlookup(A27,Cards!A$3:A$61,Cards!E$3:E$61)*E27,0),""),"")</f>
        <v>10</v>
      </c>
      <c r="P27" s="85">
        <f t="array" ref="P27">IFERROR(IF(AND(A27&lt;&gt;"",F27&lt;&gt;""),ROUNDDOWN(xlookup(A27,Cards!A$3:A$61,Cards!E$3:E$61)*F27,0),""),"")</f>
        <v>7</v>
      </c>
      <c r="Q27" s="85">
        <f t="array" ref="Q27">IFERROR(IF(AND(A27&lt;&gt;"",G27&lt;&gt;""),ROUNDUP(xlookup(A27,Cards!A$3:A$61,Cards!E$3:E$61)*G27,0),""),"")</f>
        <v>2</v>
      </c>
      <c r="R27" s="85">
        <f t="array" ref="R27">IFERROR(IF(AND(A27&lt;&gt;"",H27&lt;&gt;""),ROUNDUP(xlookup(A27,Cards!A$3:A$61,Cards!E$3:E$61)*H27,0),""),"")</f>
        <v>1</v>
      </c>
      <c r="S27" s="86">
        <f t="shared" si="1"/>
        <v>9</v>
      </c>
      <c r="T27" s="85">
        <f t="shared" si="2"/>
        <v>1</v>
      </c>
      <c r="U27" s="87">
        <f t="shared" si="3"/>
        <v>1411.08</v>
      </c>
      <c r="V27" s="88">
        <f t="shared" si="4"/>
        <v>569.48</v>
      </c>
      <c r="W27" s="89">
        <f t="shared" si="5"/>
        <v>0.6766634981</v>
      </c>
      <c r="X27" s="87">
        <f t="shared" si="6"/>
        <v>511.08</v>
      </c>
    </row>
    <row r="28" ht="15.0" customHeight="1">
      <c r="A28" s="49" t="s">
        <v>75</v>
      </c>
      <c r="B28" s="82" t="str">
        <f t="array" ref="B28">IFERROR(xlookup(A28,Cards!A$3:A$61,Cards!C$3:C$61),"")</f>
        <v>Usopp</v>
      </c>
      <c r="C28" s="82" t="str">
        <f t="array" ref="C28">IFERROR(xlookup(A28,Cards!A$3:A$61,Cards!D$3:D$61),"")</f>
        <v>Kumamoto Special</v>
      </c>
      <c r="D28" s="53">
        <f t="array" ref="D28">IFERROR(xlookup(A28,Cards!A26:A1025,Cards!K26:K1025),"")</f>
        <v>841.6</v>
      </c>
      <c r="E28" s="83">
        <f t="array" ref="E28">IFERROR(xlookup(A28,'CGC Pop Rates'!A$3:A$61,'CGC Pop Rates'!H$3:H$61),"")</f>
        <v>0.4748603352</v>
      </c>
      <c r="F28" s="83">
        <f t="array" ref="F28">IFERROR(xlookup(A28,'CGC Pop Rates'!A$3:A$61,'CGC Pop Rates'!I$3:I$61),"")</f>
        <v>0.3966480447</v>
      </c>
      <c r="G28" s="83">
        <f t="array" ref="G28">IFERROR(xlookup(A28,'CGC Pop Rates'!A$3:A$61,'CGC Pop Rates'!J$3:J$61),"")</f>
        <v>0.1061452514</v>
      </c>
      <c r="H28" s="83">
        <f t="array" ref="H28">IFERROR(xlookup(A28,'CGC Pop Rates'!A$3:A$61,'CGC Pop Rates'!K$3:K$61),"")</f>
        <v>0.02234636872</v>
      </c>
      <c r="I28" s="82" t="str">
        <f t="array" ref="I28">IFERROR(xlookup(A28,'CGC Pop Rates'!A$3:A$61,'CGC Pop Rates'!D$3:D$61),"")</f>
        <v>Yes</v>
      </c>
      <c r="J28" s="53">
        <v>3000.0</v>
      </c>
      <c r="K28" s="84">
        <f t="array" ref="K28">IFERROR(xlookup(A28,'Market Prices'!A$3:A$61,'Market Prices'!F$3:F$61),"")</f>
        <v>90</v>
      </c>
      <c r="L28" s="53">
        <f t="array" ref="L28">IFERROR(xlookup(A28,'Market Prices'!A$3:A$61,'Market Prices'!E$3:E$61),"")</f>
        <v>45</v>
      </c>
      <c r="M28" s="53">
        <f t="array" ref="M28">IFERROR(xlookup(A28,'Market Prices'!A$3:A$61,'Market Prices'!D$3:D$61),"")</f>
        <v>22</v>
      </c>
      <c r="N28" s="53">
        <f t="array" ref="N28">IFERROR(xlookup(A28,'Market Prices'!A$3:A$61,'Market Prices'!C$3:C$61),"")</f>
        <v>29.08</v>
      </c>
      <c r="O28" s="85">
        <f t="array" ref="O28">IFERROR(IF(AND(A28&lt;&gt;"",E28&lt;&gt;""),ROUNDDOWN(xlookup(A28,Cards!A$3:A$61,Cards!E$3:E$61)*E28,0),""),"")</f>
        <v>9</v>
      </c>
      <c r="P28" s="85">
        <f t="array" ref="P28">IFERROR(IF(AND(A28&lt;&gt;"",F28&lt;&gt;""),ROUNDDOWN(xlookup(A28,Cards!A$3:A$61,Cards!E$3:E$61)*F28,0),""),"")</f>
        <v>7</v>
      </c>
      <c r="Q28" s="85">
        <f t="array" ref="Q28">IFERROR(IF(AND(A28&lt;&gt;"",G28&lt;&gt;""),ROUNDUP(xlookup(A28,Cards!A$3:A$61,Cards!E$3:E$61)*G28,0),""),"")</f>
        <v>3</v>
      </c>
      <c r="R28" s="85">
        <f t="array" ref="R28">IFERROR(IF(AND(A28&lt;&gt;"",H28&lt;&gt;""),ROUNDUP(xlookup(A28,Cards!A$3:A$61,Cards!E$3:E$61)*H28,0),""),"")</f>
        <v>1</v>
      </c>
      <c r="S28" s="86">
        <f t="shared" si="1"/>
        <v>9</v>
      </c>
      <c r="T28" s="85">
        <f t="shared" si="2"/>
        <v>0</v>
      </c>
      <c r="U28" s="87">
        <f t="shared" si="3"/>
        <v>1220.08</v>
      </c>
      <c r="V28" s="88">
        <f t="shared" si="4"/>
        <v>378.48</v>
      </c>
      <c r="W28" s="89">
        <f t="shared" si="5"/>
        <v>0.4497148289</v>
      </c>
      <c r="X28" s="87">
        <f t="shared" si="6"/>
        <v>410.08</v>
      </c>
    </row>
    <row r="29" ht="15.0" customHeight="1">
      <c r="A29" s="49" t="s">
        <v>76</v>
      </c>
      <c r="B29" s="82" t="str">
        <f t="array" ref="B29">IFERROR(xlookup(A29,Cards!A$3:A$61,Cards!C$3:C$61),"")</f>
        <v>Monkey.D.Luffy</v>
      </c>
      <c r="C29" s="82" t="str">
        <f t="array" ref="C29">IFERROR(xlookup(A29,Cards!A$3:A$61,Cards!D$3:D$61),"")</f>
        <v>Live Action Collection</v>
      </c>
      <c r="D29" s="53">
        <f t="array" ref="D29">IFERROR(xlookup(A29,Cards!A27:A1026,Cards!K27:K1026),"")</f>
        <v>101.8</v>
      </c>
      <c r="E29" s="83">
        <f t="array" ref="E29">IFERROR(xlookup(A29,'CGC Pop Rates'!A$3:A$61,'CGC Pop Rates'!H$3:H$61),"")</f>
        <v>0.5988857939</v>
      </c>
      <c r="F29" s="83">
        <f t="array" ref="F29">IFERROR(xlookup(A29,'CGC Pop Rates'!A$3:A$61,'CGC Pop Rates'!I$3:I$61),"")</f>
        <v>0.2506963788</v>
      </c>
      <c r="G29" s="83">
        <f t="array" ref="G29">IFERROR(xlookup(A29,'CGC Pop Rates'!A$3:A$61,'CGC Pop Rates'!J$3:J$61),"")</f>
        <v>0.08356545961</v>
      </c>
      <c r="H29" s="83">
        <f t="array" ref="H29">IFERROR(xlookup(A29,'CGC Pop Rates'!A$3:A$61,'CGC Pop Rates'!K$3:K$61),"")</f>
        <v>0.06685236769</v>
      </c>
      <c r="I29" s="82" t="str">
        <f t="array" ref="I29">IFERROR(xlookup(A29,'CGC Pop Rates'!A$3:A$61,'CGC Pop Rates'!D$3:D$61),"")</f>
        <v>Yes</v>
      </c>
      <c r="J29" s="53">
        <v>800.0</v>
      </c>
      <c r="K29" s="84">
        <f t="array" ref="K29">IFERROR(xlookup(A29,'Market Prices'!A$3:A$61,'Market Prices'!F$3:F$61),"")</f>
        <v>65</v>
      </c>
      <c r="L29" s="53">
        <f t="array" ref="L29">IFERROR(xlookup(A29,'Market Prices'!A$3:A$61,'Market Prices'!E$3:E$61),"")</f>
        <v>32</v>
      </c>
      <c r="M29" s="53">
        <f t="array" ref="M29">IFERROR(xlookup(A29,'Market Prices'!A$3:A$61,'Market Prices'!D$3:D$61),"")</f>
        <v>12.45</v>
      </c>
      <c r="N29" s="53">
        <f t="array" ref="N29">IFERROR(xlookup(A29,'Market Prices'!A$3:A$61,'Market Prices'!C$3:C$61),"")</f>
        <v>12.45</v>
      </c>
      <c r="O29" s="85">
        <f t="array" ref="O29">IFERROR(IF(AND(A29&lt;&gt;"",E29&lt;&gt;""),ROUNDDOWN(xlookup(A29,Cards!A$3:A$61,Cards!E$3:E$61)*E29,0),""),"")</f>
        <v>2</v>
      </c>
      <c r="P29" s="85">
        <f t="array" ref="P29">IFERROR(IF(AND(A29&lt;&gt;"",F29&lt;&gt;""),ROUNDDOWN(xlookup(A29,Cards!A$3:A$61,Cards!E$3:E$61)*F29,0),""),"")</f>
        <v>1</v>
      </c>
      <c r="Q29" s="85">
        <f t="array" ref="Q29">IFERROR(IF(AND(A29&lt;&gt;"",G29&lt;&gt;""),ROUNDUP(xlookup(A29,Cards!A$3:A$61,Cards!E$3:E$61)*G29,0),""),"")</f>
        <v>1</v>
      </c>
      <c r="R29" s="85">
        <f t="array" ref="R29">IFERROR(IF(AND(A29&lt;&gt;"",H29&lt;&gt;""),ROUNDUP(xlookup(A29,Cards!A$3:A$61,Cards!E$3:E$61)*H29,0),""),"")</f>
        <v>1</v>
      </c>
      <c r="S29" s="86">
        <f t="shared" si="1"/>
        <v>2</v>
      </c>
      <c r="T29" s="85">
        <f t="shared" si="2"/>
        <v>0</v>
      </c>
      <c r="U29" s="87">
        <f t="shared" si="3"/>
        <v>186.9</v>
      </c>
      <c r="V29" s="88">
        <f t="shared" si="4"/>
        <v>85.1</v>
      </c>
      <c r="W29" s="89">
        <f t="shared" si="5"/>
        <v>0.8359528487</v>
      </c>
      <c r="X29" s="87">
        <f t="shared" si="6"/>
        <v>56.9</v>
      </c>
    </row>
    <row r="30" ht="15.0" customHeight="1">
      <c r="A30" s="54" t="s">
        <v>79</v>
      </c>
      <c r="B30" s="82" t="str">
        <f t="array" ref="B30">IFERROR(xlookup(A30,Cards!A$3:A$61,Cards!C$3:C$61),"")</f>
        <v>Monkey.D.Luffy</v>
      </c>
      <c r="C30" s="82" t="str">
        <f t="array" ref="C30">IFERROR(xlookup(A30,Cards!A$3:A$61,Cards!D$3:D$61),"")</f>
        <v>Live Action Collection</v>
      </c>
      <c r="D30" s="53">
        <f t="array" ref="D30">IFERROR(xlookup(A30,Cards!A28:A1027,Cards!K28:K1027),"")</f>
        <v>101.8</v>
      </c>
      <c r="E30" s="83">
        <f t="array" ref="E30">IFERROR(xlookup(A30,'CGC Pop Rates'!A$3:A$61,'CGC Pop Rates'!H$3:H$61),"")</f>
        <v>0.7683923706</v>
      </c>
      <c r="F30" s="83">
        <f t="array" ref="F30">IFERROR(xlookup(A30,'CGC Pop Rates'!A$3:A$61,'CGC Pop Rates'!I$3:I$61),"")</f>
        <v>0.1689373297</v>
      </c>
      <c r="G30" s="83">
        <f t="array" ref="G30">IFERROR(xlookup(A30,'CGC Pop Rates'!A$3:A$61,'CGC Pop Rates'!J$3:J$61),"")</f>
        <v>0.04359673025</v>
      </c>
      <c r="H30" s="83">
        <f t="array" ref="H30">IFERROR(xlookup(A30,'CGC Pop Rates'!A$3:A$61,'CGC Pop Rates'!K$3:K$61),"")</f>
        <v>0.01907356948</v>
      </c>
      <c r="I30" s="82" t="str">
        <f t="array" ref="I30">IFERROR(xlookup(A30,'CGC Pop Rates'!A$3:A$61,'CGC Pop Rates'!D$3:D$61),"")</f>
        <v>Yes</v>
      </c>
      <c r="J30" s="53">
        <v>800.0</v>
      </c>
      <c r="K30" s="84">
        <f t="array" ref="K30">IFERROR(xlookup(A30,'Market Prices'!A$3:A$61,'Market Prices'!F$3:F$61),"")</f>
        <v>63</v>
      </c>
      <c r="L30" s="53">
        <f t="array" ref="L30">IFERROR(xlookup(A30,'Market Prices'!A$3:A$61,'Market Prices'!E$3:E$61),"")</f>
        <v>30</v>
      </c>
      <c r="M30" s="53">
        <f t="array" ref="M30">IFERROR(xlookup(A30,'Market Prices'!A$3:A$61,'Market Prices'!D$3:D$61),"")</f>
        <v>12.45</v>
      </c>
      <c r="N30" s="53">
        <f t="array" ref="N30">IFERROR(xlookup(A30,'Market Prices'!A$3:A$61,'Market Prices'!C$3:C$61),"")</f>
        <v>12.45</v>
      </c>
      <c r="O30" s="85">
        <f t="array" ref="O30">IFERROR(IF(AND(A30&lt;&gt;"",E30&lt;&gt;""),ROUNDDOWN(xlookup(A30,Cards!A$3:A$61,Cards!E$3:E$61)*E30,0),""),"")</f>
        <v>3</v>
      </c>
      <c r="P30" s="85">
        <f t="array" ref="P30">IFERROR(IF(AND(A30&lt;&gt;"",F30&lt;&gt;""),ROUNDDOWN(xlookup(A30,Cards!A$3:A$61,Cards!E$3:E$61)*F30,0),""),"")</f>
        <v>0</v>
      </c>
      <c r="Q30" s="85">
        <f t="array" ref="Q30">IFERROR(IF(AND(A30&lt;&gt;"",G30&lt;&gt;""),ROUNDUP(xlookup(A30,Cards!A$3:A$61,Cards!E$3:E$61)*G30,0),""),"")</f>
        <v>1</v>
      </c>
      <c r="R30" s="85">
        <f t="array" ref="R30">IFERROR(IF(AND(A30&lt;&gt;"",H30&lt;&gt;""),ROUNDUP(xlookup(A30,Cards!A$3:A$61,Cards!E$3:E$61)*H30,0),""),"")</f>
        <v>1</v>
      </c>
      <c r="S30" s="86">
        <f t="shared" si="1"/>
        <v>2</v>
      </c>
      <c r="T30" s="85">
        <f t="shared" si="2"/>
        <v>1</v>
      </c>
      <c r="U30" s="87">
        <f t="shared" si="3"/>
        <v>213.9</v>
      </c>
      <c r="V30" s="88">
        <f t="shared" si="4"/>
        <v>112.1</v>
      </c>
      <c r="W30" s="89">
        <f t="shared" si="5"/>
        <v>1.101178782</v>
      </c>
      <c r="X30" s="87">
        <f t="shared" si="6"/>
        <v>87.9</v>
      </c>
    </row>
    <row r="31" ht="15.0" customHeight="1">
      <c r="A31" s="49" t="s">
        <v>80</v>
      </c>
      <c r="B31" s="82" t="str">
        <f t="array" ref="B31">IFERROR(xlookup(A31,Cards!A$3:A$61,Cards!C$3:C$61),"")</f>
        <v>Roronoa Zoro</v>
      </c>
      <c r="C31" s="82" t="str">
        <f t="array" ref="C31">IFERROR(xlookup(A31,Cards!A$3:A$61,Cards!D$3:D$61),"")</f>
        <v>Live Action Collection</v>
      </c>
      <c r="D31" s="53">
        <f t="array" ref="D31">IFERROR(xlookup(A31,Cards!A29:A1028,Cards!K29:K1028),"")</f>
        <v>101.8</v>
      </c>
      <c r="E31" s="83">
        <f t="array" ref="E31">IFERROR(xlookup(A31,'CGC Pop Rates'!A$3:A$61,'CGC Pop Rates'!H$3:H$61),"")</f>
        <v>0.6626865672</v>
      </c>
      <c r="F31" s="83">
        <f t="array" ref="F31">IFERROR(xlookup(A31,'CGC Pop Rates'!A$3:A$61,'CGC Pop Rates'!I$3:I$61),"")</f>
        <v>0.2388059701</v>
      </c>
      <c r="G31" s="83">
        <f t="array" ref="G31">IFERROR(xlookup(A31,'CGC Pop Rates'!A$3:A$61,'CGC Pop Rates'!J$3:J$61),"")</f>
        <v>0.08059701493</v>
      </c>
      <c r="H31" s="83">
        <f t="array" ref="H31">IFERROR(xlookup(A31,'CGC Pop Rates'!A$3:A$61,'CGC Pop Rates'!K$3:K$61),"")</f>
        <v>0.01791044776</v>
      </c>
      <c r="I31" s="82" t="str">
        <f t="array" ref="I31">IFERROR(xlookup(A31,'CGC Pop Rates'!A$3:A$61,'CGC Pop Rates'!D$3:D$61),"")</f>
        <v>Yes</v>
      </c>
      <c r="J31" s="53">
        <v>800.0</v>
      </c>
      <c r="K31" s="84">
        <f t="array" ref="K31">IFERROR(xlookup(A31,'Market Prices'!A$3:A$61,'Market Prices'!F$3:F$61),"")</f>
        <v>72</v>
      </c>
      <c r="L31" s="53">
        <f t="array" ref="L31">IFERROR(xlookup(A31,'Market Prices'!A$3:A$61,'Market Prices'!E$3:E$61),"")</f>
        <v>35</v>
      </c>
      <c r="M31" s="53">
        <f t="array" ref="M31">IFERROR(xlookup(A31,'Market Prices'!A$3:A$61,'Market Prices'!D$3:D$61),"")</f>
        <v>12.45</v>
      </c>
      <c r="N31" s="53">
        <f t="array" ref="N31">IFERROR(xlookup(A31,'Market Prices'!A$3:A$61,'Market Prices'!C$3:C$61),"")</f>
        <v>12.45</v>
      </c>
      <c r="O31" s="85">
        <f t="array" ref="O31">IFERROR(IF(AND(A31&lt;&gt;"",E31&lt;&gt;""),ROUNDDOWN(xlookup(A31,Cards!A$3:A$61,Cards!E$3:E$61)*E31,0),""),"")</f>
        <v>2</v>
      </c>
      <c r="P31" s="85">
        <f t="array" ref="P31">IFERROR(IF(AND(A31&lt;&gt;"",F31&lt;&gt;""),ROUNDDOWN(xlookup(A31,Cards!A$3:A$61,Cards!E$3:E$61)*F31,0),""),"")</f>
        <v>0</v>
      </c>
      <c r="Q31" s="85">
        <f t="array" ref="Q31">IFERROR(IF(AND(A31&lt;&gt;"",G31&lt;&gt;""),ROUNDUP(xlookup(A31,Cards!A$3:A$61,Cards!E$3:E$61)*G31,0),""),"")</f>
        <v>1</v>
      </c>
      <c r="R31" s="85">
        <f t="array" ref="R31">IFERROR(IF(AND(A31&lt;&gt;"",H31&lt;&gt;""),ROUNDUP(xlookup(A31,Cards!A$3:A$61,Cards!E$3:E$61)*H31,0),""),"")</f>
        <v>1</v>
      </c>
      <c r="S31" s="86">
        <f t="shared" si="1"/>
        <v>2</v>
      </c>
      <c r="T31" s="85">
        <f t="shared" si="2"/>
        <v>0</v>
      </c>
      <c r="U31" s="87">
        <f t="shared" si="3"/>
        <v>168.9</v>
      </c>
      <c r="V31" s="88">
        <f t="shared" si="4"/>
        <v>67.1</v>
      </c>
      <c r="W31" s="89">
        <f t="shared" si="5"/>
        <v>0.6591355599</v>
      </c>
      <c r="X31" s="87">
        <f t="shared" si="6"/>
        <v>24.9</v>
      </c>
    </row>
    <row r="32" ht="15.0" customHeight="1">
      <c r="A32" s="54" t="s">
        <v>81</v>
      </c>
      <c r="B32" s="82" t="str">
        <f t="array" ref="B32">IFERROR(xlookup(A32,Cards!A$3:A$61,Cards!C$3:C$61),"")</f>
        <v>Nami</v>
      </c>
      <c r="C32" s="82" t="str">
        <f t="array" ref="C32">IFERROR(xlookup(A32,Cards!A$3:A$61,Cards!D$3:D$61),"")</f>
        <v>Live Action Collection</v>
      </c>
      <c r="D32" s="53">
        <f t="array" ref="D32">IFERROR(xlookup(A32,Cards!A30:A1029,Cards!K30:K1029),"")</f>
        <v>101.8</v>
      </c>
      <c r="E32" s="83">
        <f t="array" ref="E32">IFERROR(xlookup(A32,'CGC Pop Rates'!A$3:A$61,'CGC Pop Rates'!H$3:H$61),"")</f>
        <v>0.664756447</v>
      </c>
      <c r="F32" s="83">
        <f t="array" ref="F32">IFERROR(xlookup(A32,'CGC Pop Rates'!A$3:A$61,'CGC Pop Rates'!I$3:I$61),"")</f>
        <v>0.2578796562</v>
      </c>
      <c r="G32" s="83">
        <f t="array" ref="G32">IFERROR(xlookup(A32,'CGC Pop Rates'!A$3:A$61,'CGC Pop Rates'!J$3:J$61),"")</f>
        <v>0.06017191977</v>
      </c>
      <c r="H32" s="83">
        <f t="array" ref="H32">IFERROR(xlookup(A32,'CGC Pop Rates'!A$3:A$61,'CGC Pop Rates'!K$3:K$61),"")</f>
        <v>0.01719197708</v>
      </c>
      <c r="I32" s="82" t="str">
        <f t="array" ref="I32">IFERROR(xlookup(A32,'CGC Pop Rates'!A$3:A$61,'CGC Pop Rates'!D$3:D$61),"")</f>
        <v>Yes</v>
      </c>
      <c r="J32" s="53">
        <v>800.0</v>
      </c>
      <c r="K32" s="84">
        <f t="array" ref="K32">IFERROR(xlookup(A32,'Market Prices'!A$3:A$61,'Market Prices'!F$3:F$61),"")</f>
        <v>117</v>
      </c>
      <c r="L32" s="53">
        <f t="array" ref="L32">IFERROR(xlookup(A32,'Market Prices'!A$3:A$61,'Market Prices'!E$3:E$61),"")</f>
        <v>55</v>
      </c>
      <c r="M32" s="53">
        <f t="array" ref="M32">IFERROR(xlookup(A32,'Market Prices'!A$3:A$61,'Market Prices'!D$3:D$61),"")</f>
        <v>12.45</v>
      </c>
      <c r="N32" s="53">
        <f t="array" ref="N32">IFERROR(xlookup(A32,'Market Prices'!A$3:A$61,'Market Prices'!C$3:C$61),"")</f>
        <v>12.45</v>
      </c>
      <c r="O32" s="85">
        <f t="array" ref="O32">IFERROR(IF(AND(A32&lt;&gt;"",E32&lt;&gt;""),ROUNDDOWN(xlookup(A32,Cards!A$3:A$61,Cards!E$3:E$61)*E32,0),""),"")</f>
        <v>2</v>
      </c>
      <c r="P32" s="85">
        <f t="array" ref="P32">IFERROR(IF(AND(A32&lt;&gt;"",F32&lt;&gt;""),ROUNDDOWN(xlookup(A32,Cards!A$3:A$61,Cards!E$3:E$61)*F32,0),""),"")</f>
        <v>1</v>
      </c>
      <c r="Q32" s="85">
        <f t="array" ref="Q32">IFERROR(IF(AND(A32&lt;&gt;"",G32&lt;&gt;""),ROUNDUP(xlookup(A32,Cards!A$3:A$61,Cards!E$3:E$61)*G32,0),""),"")</f>
        <v>1</v>
      </c>
      <c r="R32" s="85">
        <f t="array" ref="R32">IFERROR(IF(AND(A32&lt;&gt;"",H32&lt;&gt;""),ROUNDUP(xlookup(A32,Cards!A$3:A$61,Cards!E$3:E$61)*H32,0),""),"")</f>
        <v>1</v>
      </c>
      <c r="S32" s="86">
        <f t="shared" si="1"/>
        <v>2</v>
      </c>
      <c r="T32" s="85">
        <f t="shared" si="2"/>
        <v>0</v>
      </c>
      <c r="U32" s="87">
        <f t="shared" si="3"/>
        <v>313.9</v>
      </c>
      <c r="V32" s="88">
        <f t="shared" si="4"/>
        <v>212.1</v>
      </c>
      <c r="W32" s="89">
        <f t="shared" si="5"/>
        <v>2.083497053</v>
      </c>
      <c r="X32" s="87">
        <f t="shared" si="6"/>
        <v>79.9</v>
      </c>
    </row>
    <row r="33" ht="15.0" customHeight="1">
      <c r="A33" s="49" t="s">
        <v>82</v>
      </c>
      <c r="B33" s="82" t="str">
        <f t="array" ref="B33">IFERROR(xlookup(A33,Cards!A$3:A$61,Cards!C$3:C$61),"")</f>
        <v>Sanji</v>
      </c>
      <c r="C33" s="82" t="str">
        <f t="array" ref="C33">IFERROR(xlookup(A33,Cards!A$3:A$61,Cards!D$3:D$61),"")</f>
        <v>Live Action Collection</v>
      </c>
      <c r="D33" s="53">
        <f t="array" ref="D33">IFERROR(xlookup(A33,Cards!A31:A1030,Cards!K31:K1030),"")</f>
        <v>101.8</v>
      </c>
      <c r="E33" s="83">
        <f t="array" ref="E33">IFERROR(xlookup(A33,'CGC Pop Rates'!A$3:A$61,'CGC Pop Rates'!H$3:H$61),"")</f>
        <v>0.5806451613</v>
      </c>
      <c r="F33" s="83">
        <f t="array" ref="F33">IFERROR(xlookup(A33,'CGC Pop Rates'!A$3:A$61,'CGC Pop Rates'!I$3:I$61),"")</f>
        <v>0.2774193548</v>
      </c>
      <c r="G33" s="83">
        <f t="array" ref="G33">IFERROR(xlookup(A33,'CGC Pop Rates'!A$3:A$61,'CGC Pop Rates'!J$3:J$61),"")</f>
        <v>0.1161290323</v>
      </c>
      <c r="H33" s="83">
        <f t="array" ref="H33">IFERROR(xlookup(A33,'CGC Pop Rates'!A$3:A$61,'CGC Pop Rates'!K$3:K$61),"")</f>
        <v>0.02580645161</v>
      </c>
      <c r="I33" s="82" t="str">
        <f t="array" ref="I33">IFERROR(xlookup(A33,'CGC Pop Rates'!A$3:A$61,'CGC Pop Rates'!D$3:D$61),"")</f>
        <v>Yes</v>
      </c>
      <c r="J33" s="53">
        <v>800.0</v>
      </c>
      <c r="K33" s="84">
        <f t="array" ref="K33">IFERROR(xlookup(A33,'Market Prices'!A$3:A$61,'Market Prices'!F$3:F$61),"")</f>
        <v>45</v>
      </c>
      <c r="L33" s="53">
        <f t="array" ref="L33">IFERROR(xlookup(A33,'Market Prices'!A$3:A$61,'Market Prices'!E$3:E$61),"")</f>
        <v>22</v>
      </c>
      <c r="M33" s="53">
        <f t="array" ref="M33">IFERROR(xlookup(A33,'Market Prices'!A$3:A$61,'Market Prices'!D$3:D$61),"")</f>
        <v>12.45</v>
      </c>
      <c r="N33" s="53">
        <f t="array" ref="N33">IFERROR(xlookup(A33,'Market Prices'!A$3:A$61,'Market Prices'!C$3:C$61),"")</f>
        <v>12.45</v>
      </c>
      <c r="O33" s="85">
        <f t="array" ref="O33">IFERROR(IF(AND(A33&lt;&gt;"",E33&lt;&gt;""),ROUNDDOWN(xlookup(A33,Cards!A$3:A$61,Cards!E$3:E$61)*E33,0),""),"")</f>
        <v>2</v>
      </c>
      <c r="P33" s="85">
        <f t="array" ref="P33">IFERROR(IF(AND(A33&lt;&gt;"",F33&lt;&gt;""),ROUNDDOWN(xlookup(A33,Cards!A$3:A$61,Cards!E$3:E$61)*F33,0),""),"")</f>
        <v>1</v>
      </c>
      <c r="Q33" s="85">
        <f t="array" ref="Q33">IFERROR(IF(AND(A33&lt;&gt;"",G33&lt;&gt;""),ROUNDUP(xlookup(A33,Cards!A$3:A$61,Cards!E$3:E$61)*G33,0),""),"")</f>
        <v>1</v>
      </c>
      <c r="R33" s="85">
        <f t="array" ref="R33">IFERROR(IF(AND(A33&lt;&gt;"",H33&lt;&gt;""),ROUNDUP(xlookup(A33,Cards!A$3:A$61,Cards!E$3:E$61)*H33,0),""),"")</f>
        <v>1</v>
      </c>
      <c r="S33" s="86">
        <f t="shared" si="1"/>
        <v>2</v>
      </c>
      <c r="T33" s="85">
        <f t="shared" si="2"/>
        <v>0</v>
      </c>
      <c r="U33" s="87">
        <f t="shared" si="3"/>
        <v>136.9</v>
      </c>
      <c r="V33" s="88">
        <f t="shared" si="4"/>
        <v>35.1</v>
      </c>
      <c r="W33" s="89">
        <f t="shared" si="5"/>
        <v>0.3447937132</v>
      </c>
      <c r="X33" s="87">
        <f t="shared" si="6"/>
        <v>46.9</v>
      </c>
    </row>
    <row r="34" ht="15.0" customHeight="1">
      <c r="A34" s="54" t="s">
        <v>83</v>
      </c>
      <c r="B34" s="82" t="str">
        <f t="array" ref="B34">IFERROR(xlookup(A34,Cards!A$3:A$61,Cards!C$3:C$61),"")</f>
        <v>Arlong</v>
      </c>
      <c r="C34" s="82" t="str">
        <f t="array" ref="C34">IFERROR(xlookup(A34,Cards!A$3:A$61,Cards!D$3:D$61),"")</f>
        <v>Live Action Collection</v>
      </c>
      <c r="D34" s="53">
        <f t="array" ref="D34">IFERROR(xlookup(A34,Cards!A32:A1031,Cards!K32:K1031),"")</f>
        <v>101.8</v>
      </c>
      <c r="E34" s="83">
        <f t="array" ref="E34">IFERROR(xlookup(A34,'CGC Pop Rates'!A$3:A$61,'CGC Pop Rates'!H$3:H$61),"")</f>
        <v>0.6746031746</v>
      </c>
      <c r="F34" s="83">
        <f t="array" ref="F34">IFERROR(xlookup(A34,'CGC Pop Rates'!A$3:A$61,'CGC Pop Rates'!I$3:I$61),"")</f>
        <v>0.2619047619</v>
      </c>
      <c r="G34" s="83">
        <f t="array" ref="G34">IFERROR(xlookup(A34,'CGC Pop Rates'!A$3:A$61,'CGC Pop Rates'!J$3:J$61),"")</f>
        <v>0.04761904762</v>
      </c>
      <c r="H34" s="83">
        <f t="array" ref="H34">IFERROR(xlookup(A34,'CGC Pop Rates'!A$3:A$61,'CGC Pop Rates'!K$3:K$61),"")</f>
        <v>0.01587301587</v>
      </c>
      <c r="I34" s="82" t="str">
        <f t="array" ref="I34">IFERROR(xlookup(A34,'CGC Pop Rates'!A$3:A$61,'CGC Pop Rates'!D$3:D$61),"")</f>
        <v>Yes</v>
      </c>
      <c r="J34" s="53">
        <v>800.0</v>
      </c>
      <c r="K34" s="84">
        <f t="array" ref="K34">IFERROR(xlookup(A34,'Market Prices'!A$3:A$61,'Market Prices'!F$3:F$61),"")</f>
        <v>45</v>
      </c>
      <c r="L34" s="53">
        <f t="array" ref="L34">IFERROR(xlookup(A34,'Market Prices'!A$3:A$61,'Market Prices'!E$3:E$61),"")</f>
        <v>22</v>
      </c>
      <c r="M34" s="53">
        <f t="array" ref="M34">IFERROR(xlookup(A34,'Market Prices'!A$3:A$61,'Market Prices'!D$3:D$61),"")</f>
        <v>12.45</v>
      </c>
      <c r="N34" s="53">
        <f t="array" ref="N34">IFERROR(xlookup(A34,'Market Prices'!A$3:A$61,'Market Prices'!C$3:C$61),"")</f>
        <v>12.45</v>
      </c>
      <c r="O34" s="85">
        <f t="array" ref="O34">IFERROR(IF(AND(A34&lt;&gt;"",E34&lt;&gt;""),ROUNDDOWN(xlookup(A34,Cards!A$3:A$61,Cards!E$3:E$61)*E34,0),""),"")</f>
        <v>2</v>
      </c>
      <c r="P34" s="85">
        <f t="array" ref="P34">IFERROR(IF(AND(A34&lt;&gt;"",F34&lt;&gt;""),ROUNDDOWN(xlookup(A34,Cards!A$3:A$61,Cards!E$3:E$61)*F34,0),""),"")</f>
        <v>1</v>
      </c>
      <c r="Q34" s="85">
        <f t="array" ref="Q34">IFERROR(IF(AND(A34&lt;&gt;"",G34&lt;&gt;""),ROUNDUP(xlookup(A34,Cards!A$3:A$61,Cards!E$3:E$61)*G34,0),""),"")</f>
        <v>1</v>
      </c>
      <c r="R34" s="85">
        <f t="array" ref="R34">IFERROR(IF(AND(A34&lt;&gt;"",H34&lt;&gt;""),ROUNDUP(xlookup(A34,Cards!A$3:A$61,Cards!E$3:E$61)*H34,0),""),"")</f>
        <v>1</v>
      </c>
      <c r="S34" s="86">
        <f t="shared" si="1"/>
        <v>2</v>
      </c>
      <c r="T34" s="85">
        <f t="shared" si="2"/>
        <v>0</v>
      </c>
      <c r="U34" s="87">
        <f t="shared" si="3"/>
        <v>136.9</v>
      </c>
      <c r="V34" s="88">
        <f t="shared" si="4"/>
        <v>35.1</v>
      </c>
      <c r="W34" s="89">
        <f t="shared" si="5"/>
        <v>0.3447937132</v>
      </c>
      <c r="X34" s="87">
        <f t="shared" si="6"/>
        <v>46.9</v>
      </c>
    </row>
    <row r="35" ht="15.0" customHeight="1">
      <c r="A35" s="49" t="s">
        <v>85</v>
      </c>
      <c r="B35" s="82" t="str">
        <f t="array" ref="B35">IFERROR(xlookup(A35,Cards!A$3:A$61,Cards!C$3:C$61),"")</f>
        <v>Dracule Mihawk</v>
      </c>
      <c r="C35" s="82" t="str">
        <f t="array" ref="C35">IFERROR(xlookup(A35,Cards!A$3:A$61,Cards!D$3:D$61),"")</f>
        <v>Live Action Collection</v>
      </c>
      <c r="D35" s="53">
        <f t="array" ref="D35">IFERROR(xlookup(A35,Cards!A33:A1032,Cards!K33:K1032),"")</f>
        <v>101.8</v>
      </c>
      <c r="E35" s="83">
        <f t="array" ref="E35">IFERROR(xlookup(A35,'CGC Pop Rates'!A$3:A$61,'CGC Pop Rates'!H$3:H$61),"")</f>
        <v>0.657480315</v>
      </c>
      <c r="F35" s="83">
        <f t="array" ref="F35">IFERROR(xlookup(A35,'CGC Pop Rates'!A$3:A$61,'CGC Pop Rates'!I$3:I$61),"")</f>
        <v>0.2440944882</v>
      </c>
      <c r="G35" s="83">
        <f t="array" ref="G35">IFERROR(xlookup(A35,'CGC Pop Rates'!A$3:A$61,'CGC Pop Rates'!J$3:J$61),"")</f>
        <v>0.05905511811</v>
      </c>
      <c r="H35" s="83">
        <f t="array" ref="H35">IFERROR(xlookup(A35,'CGC Pop Rates'!A$3:A$61,'CGC Pop Rates'!K$3:K$61),"")</f>
        <v>0.03937007874</v>
      </c>
      <c r="I35" s="82" t="str">
        <f t="array" ref="I35">IFERROR(xlookup(A35,'CGC Pop Rates'!A$3:A$61,'CGC Pop Rates'!D$3:D$61),"")</f>
        <v>Yes</v>
      </c>
      <c r="J35" s="53">
        <v>800.0</v>
      </c>
      <c r="K35" s="84">
        <f t="array" ref="K35">IFERROR(xlookup(A35,'Market Prices'!A$3:A$61,'Market Prices'!F$3:F$61),"")</f>
        <v>45</v>
      </c>
      <c r="L35" s="53">
        <f t="array" ref="L35">IFERROR(xlookup(A35,'Market Prices'!A$3:A$61,'Market Prices'!E$3:E$61),"")</f>
        <v>22</v>
      </c>
      <c r="M35" s="53">
        <f t="array" ref="M35">IFERROR(xlookup(A35,'Market Prices'!A$3:A$61,'Market Prices'!D$3:D$61),"")</f>
        <v>12.45</v>
      </c>
      <c r="N35" s="53">
        <f t="array" ref="N35">IFERROR(xlookup(A35,'Market Prices'!A$3:A$61,'Market Prices'!C$3:C$61),"")</f>
        <v>12.45</v>
      </c>
      <c r="O35" s="85">
        <f t="array" ref="O35">IFERROR(IF(AND(A35&lt;&gt;"",E35&lt;&gt;""),ROUNDDOWN(xlookup(A35,Cards!A$3:A$61,Cards!E$3:E$61)*E35,0),""),"")</f>
        <v>2</v>
      </c>
      <c r="P35" s="85">
        <f t="array" ref="P35">IFERROR(IF(AND(A35&lt;&gt;"",F35&lt;&gt;""),ROUNDDOWN(xlookup(A35,Cards!A$3:A$61,Cards!E$3:E$61)*F35,0),""),"")</f>
        <v>0</v>
      </c>
      <c r="Q35" s="85">
        <f t="array" ref="Q35">IFERROR(IF(AND(A35&lt;&gt;"",G35&lt;&gt;""),ROUNDUP(xlookup(A35,Cards!A$3:A$61,Cards!E$3:E$61)*G35,0),""),"")</f>
        <v>1</v>
      </c>
      <c r="R35" s="85">
        <f t="array" ref="R35">IFERROR(IF(AND(A35&lt;&gt;"",H35&lt;&gt;""),ROUNDUP(xlookup(A35,Cards!A$3:A$61,Cards!E$3:E$61)*H35,0),""),"")</f>
        <v>1</v>
      </c>
      <c r="S35" s="86">
        <f t="shared" si="1"/>
        <v>2</v>
      </c>
      <c r="T35" s="85">
        <f t="shared" si="2"/>
        <v>0</v>
      </c>
      <c r="U35" s="87">
        <f t="shared" si="3"/>
        <v>114.9</v>
      </c>
      <c r="V35" s="88">
        <f t="shared" si="4"/>
        <v>13.1</v>
      </c>
      <c r="W35" s="89">
        <f t="shared" si="5"/>
        <v>0.1286836935</v>
      </c>
      <c r="X35" s="87">
        <f t="shared" si="6"/>
        <v>24.9</v>
      </c>
    </row>
    <row r="36" ht="15.0" customHeight="1">
      <c r="A36" s="54" t="s">
        <v>87</v>
      </c>
      <c r="B36" s="82" t="str">
        <f t="array" ref="B36">IFERROR(xlookup(A36,Cards!A$3:A$61,Cards!C$3:C$61),"")</f>
        <v>Usopp</v>
      </c>
      <c r="C36" s="82" t="str">
        <f t="array" ref="C36">IFERROR(xlookup(A36,Cards!A$3:A$61,Cards!D$3:D$61),"")</f>
        <v>Live Action Collection</v>
      </c>
      <c r="D36" s="53">
        <f t="array" ref="D36">IFERROR(xlookup(A36,Cards!A34:A1033,Cards!K34:K1033),"")</f>
        <v>101.8</v>
      </c>
      <c r="E36" s="83">
        <f t="array" ref="E36">IFERROR(xlookup(A36,'CGC Pop Rates'!A$3:A$61,'CGC Pop Rates'!H$3:H$61),"")</f>
        <v>0.6426229508</v>
      </c>
      <c r="F36" s="83">
        <f t="array" ref="F36">IFERROR(xlookup(A36,'CGC Pop Rates'!A$3:A$61,'CGC Pop Rates'!I$3:I$61),"")</f>
        <v>0.2491803279</v>
      </c>
      <c r="G36" s="83">
        <f t="array" ref="G36">IFERROR(xlookup(A36,'CGC Pop Rates'!A$3:A$61,'CGC Pop Rates'!J$3:J$61),"")</f>
        <v>0.07868852459</v>
      </c>
      <c r="H36" s="83">
        <f t="array" ref="H36">IFERROR(xlookup(A36,'CGC Pop Rates'!A$3:A$61,'CGC Pop Rates'!K$3:K$61),"")</f>
        <v>0.02950819672</v>
      </c>
      <c r="I36" s="82" t="str">
        <f t="array" ref="I36">IFERROR(xlookup(A36,'CGC Pop Rates'!A$3:A$61,'CGC Pop Rates'!D$3:D$61),"")</f>
        <v>Yes</v>
      </c>
      <c r="J36" s="53">
        <v>800.0</v>
      </c>
      <c r="K36" s="84">
        <f t="array" ref="K36">IFERROR(xlookup(A36,'Market Prices'!A$3:A$61,'Market Prices'!F$3:F$61),"")</f>
        <v>45</v>
      </c>
      <c r="L36" s="53">
        <f t="array" ref="L36">IFERROR(xlookup(A36,'Market Prices'!A$3:A$61,'Market Prices'!E$3:E$61),"")</f>
        <v>22</v>
      </c>
      <c r="M36" s="53">
        <f t="array" ref="M36">IFERROR(xlookup(A36,'Market Prices'!A$3:A$61,'Market Prices'!D$3:D$61),"")</f>
        <v>12.45</v>
      </c>
      <c r="N36" s="53">
        <f t="array" ref="N36">IFERROR(xlookup(A36,'Market Prices'!A$3:A$61,'Market Prices'!C$3:C$61),"")</f>
        <v>12.45</v>
      </c>
      <c r="O36" s="85">
        <f t="array" ref="O36">IFERROR(IF(AND(A36&lt;&gt;"",E36&lt;&gt;""),ROUNDDOWN(xlookup(A36,Cards!A$3:A$61,Cards!E$3:E$61)*E36,0),""),"")</f>
        <v>2</v>
      </c>
      <c r="P36" s="85">
        <f t="array" ref="P36">IFERROR(IF(AND(A36&lt;&gt;"",F36&lt;&gt;""),ROUNDDOWN(xlookup(A36,Cards!A$3:A$61,Cards!E$3:E$61)*F36,0),""),"")</f>
        <v>0</v>
      </c>
      <c r="Q36" s="85">
        <f t="array" ref="Q36">IFERROR(IF(AND(A36&lt;&gt;"",G36&lt;&gt;""),ROUNDUP(xlookup(A36,Cards!A$3:A$61,Cards!E$3:E$61)*G36,0),""),"")</f>
        <v>1</v>
      </c>
      <c r="R36" s="85">
        <f t="array" ref="R36">IFERROR(IF(AND(A36&lt;&gt;"",H36&lt;&gt;""),ROUNDUP(xlookup(A36,Cards!A$3:A$61,Cards!E$3:E$61)*H36,0),""),"")</f>
        <v>1</v>
      </c>
      <c r="S36" s="86">
        <f t="shared" si="1"/>
        <v>2</v>
      </c>
      <c r="T36" s="85">
        <f t="shared" si="2"/>
        <v>0</v>
      </c>
      <c r="U36" s="87">
        <f t="shared" si="3"/>
        <v>114.9</v>
      </c>
      <c r="V36" s="88">
        <f t="shared" si="4"/>
        <v>13.1</v>
      </c>
      <c r="W36" s="89">
        <f t="shared" si="5"/>
        <v>0.1286836935</v>
      </c>
      <c r="X36" s="87">
        <f t="shared" si="6"/>
        <v>24.9</v>
      </c>
    </row>
    <row r="37" ht="15.0" customHeight="1">
      <c r="A37" s="49" t="s">
        <v>88</v>
      </c>
      <c r="B37" s="82" t="str">
        <f t="array" ref="B37">IFERROR(xlookup(A37,Cards!A$3:A$61,Cards!C$3:C$61),"")</f>
        <v>Shanks</v>
      </c>
      <c r="C37" s="82" t="str">
        <f t="array" ref="C37">IFERROR(xlookup(A37,Cards!A$3:A$61,Cards!D$3:D$61),"")</f>
        <v>Live Action Collection</v>
      </c>
      <c r="D37" s="53">
        <f t="array" ref="D37">IFERROR(xlookup(A37,Cards!A35:A1034,Cards!K35:K1034),"")</f>
        <v>101.8</v>
      </c>
      <c r="E37" s="83">
        <f t="array" ref="E37">IFERROR(xlookup(A37,'CGC Pop Rates'!A$3:A$61,'CGC Pop Rates'!H$3:H$61),"")</f>
        <v>0.6474820144</v>
      </c>
      <c r="F37" s="83">
        <f t="array" ref="F37">IFERROR(xlookup(A37,'CGC Pop Rates'!A$3:A$61,'CGC Pop Rates'!I$3:I$61),"")</f>
        <v>0.2841726619</v>
      </c>
      <c r="G37" s="83">
        <f t="array" ref="G37">IFERROR(xlookup(A37,'CGC Pop Rates'!A$3:A$61,'CGC Pop Rates'!J$3:J$61),"")</f>
        <v>0.05755395683</v>
      </c>
      <c r="H37" s="83">
        <f t="array" ref="H37">IFERROR(xlookup(A37,'CGC Pop Rates'!A$3:A$61,'CGC Pop Rates'!K$3:K$61),"")</f>
        <v>0.01079136691</v>
      </c>
      <c r="I37" s="82" t="str">
        <f t="array" ref="I37">IFERROR(xlookup(A37,'CGC Pop Rates'!A$3:A$61,'CGC Pop Rates'!D$3:D$61),"")</f>
        <v>Yes</v>
      </c>
      <c r="J37" s="53">
        <v>800.0</v>
      </c>
      <c r="K37" s="84">
        <f t="array" ref="K37">IFERROR(xlookup(A37,'Market Prices'!A$3:A$61,'Market Prices'!F$3:F$61),"")</f>
        <v>45</v>
      </c>
      <c r="L37" s="53">
        <f t="array" ref="L37">IFERROR(xlookup(A37,'Market Prices'!A$3:A$61,'Market Prices'!E$3:E$61),"")</f>
        <v>22</v>
      </c>
      <c r="M37" s="53">
        <f t="array" ref="M37">IFERROR(xlookup(A37,'Market Prices'!A$3:A$61,'Market Prices'!D$3:D$61),"")</f>
        <v>12.45</v>
      </c>
      <c r="N37" s="53">
        <f t="array" ref="N37">IFERROR(xlookup(A37,'Market Prices'!A$3:A$61,'Market Prices'!C$3:C$61),"")</f>
        <v>12.45</v>
      </c>
      <c r="O37" s="85">
        <f t="array" ref="O37">IFERROR(IF(AND(A37&lt;&gt;"",E37&lt;&gt;""),ROUNDDOWN(xlookup(A37,Cards!A$3:A$61,Cards!E$3:E$61)*E37,0),""),"")</f>
        <v>2</v>
      </c>
      <c r="P37" s="85">
        <f t="array" ref="P37">IFERROR(IF(AND(A37&lt;&gt;"",F37&lt;&gt;""),ROUNDDOWN(xlookup(A37,Cards!A$3:A$61,Cards!E$3:E$61)*F37,0),""),"")</f>
        <v>1</v>
      </c>
      <c r="Q37" s="85">
        <f t="array" ref="Q37">IFERROR(IF(AND(A37&lt;&gt;"",G37&lt;&gt;""),ROUNDUP(xlookup(A37,Cards!A$3:A$61,Cards!E$3:E$61)*G37,0),""),"")</f>
        <v>1</v>
      </c>
      <c r="R37" s="85">
        <f t="array" ref="R37">IFERROR(IF(AND(A37&lt;&gt;"",H37&lt;&gt;""),ROUNDUP(xlookup(A37,Cards!A$3:A$61,Cards!E$3:E$61)*H37,0),""),"")</f>
        <v>1</v>
      </c>
      <c r="S37" s="86">
        <f t="shared" si="1"/>
        <v>2</v>
      </c>
      <c r="T37" s="85">
        <f t="shared" si="2"/>
        <v>0</v>
      </c>
      <c r="U37" s="87">
        <f t="shared" si="3"/>
        <v>136.9</v>
      </c>
      <c r="V37" s="88">
        <f t="shared" si="4"/>
        <v>35.1</v>
      </c>
      <c r="W37" s="89">
        <f t="shared" si="5"/>
        <v>0.3447937132</v>
      </c>
      <c r="X37" s="87">
        <f t="shared" si="6"/>
        <v>46.9</v>
      </c>
    </row>
    <row r="38" ht="15.0" customHeight="1">
      <c r="A38" s="54" t="s">
        <v>90</v>
      </c>
      <c r="B38" s="82" t="str">
        <f t="array" ref="B38">IFERROR(xlookup(A38,Cards!A$3:A$61,Cards!C$3:C$61),"")</f>
        <v>Monkey.D.Luffy</v>
      </c>
      <c r="C38" s="82" t="str">
        <f t="array" ref="C38">IFERROR(xlookup(A38,Cards!A$3:A$61,Cards!D$3:D$61),"")</f>
        <v>Red FIlm Colleciton</v>
      </c>
      <c r="D38" s="53">
        <f t="array" ref="D38">IFERROR(xlookup(A38,Cards!A36:A1035,Cards!K36:K1035),"")</f>
        <v>509.4</v>
      </c>
      <c r="E38" s="83">
        <f t="array" ref="E38">IFERROR(xlookup(A38,'CGC Pop Rates'!A$3:A$61,'CGC Pop Rates'!H$3:H$61),"")</f>
        <v>0.6320754717</v>
      </c>
      <c r="F38" s="83">
        <f t="array" ref="F38">IFERROR(xlookup(A38,'CGC Pop Rates'!A$3:A$61,'CGC Pop Rates'!I$3:I$61),"")</f>
        <v>0.2641509434</v>
      </c>
      <c r="G38" s="83">
        <f t="array" ref="G38">IFERROR(xlookup(A38,'CGC Pop Rates'!A$3:A$61,'CGC Pop Rates'!J$3:J$61),"")</f>
        <v>0.07075471698</v>
      </c>
      <c r="H38" s="83">
        <f t="array" ref="H38">IFERROR(xlookup(A38,'CGC Pop Rates'!A$3:A$61,'CGC Pop Rates'!K$3:K$61),"")</f>
        <v>0.03301886792</v>
      </c>
      <c r="I38" s="82" t="str">
        <f t="array" ref="I38">IFERROR(xlookup(A38,'CGC Pop Rates'!A$3:A$61,'CGC Pop Rates'!D$3:D$61),"")</f>
        <v>Yes</v>
      </c>
      <c r="J38" s="53">
        <v>2000.0</v>
      </c>
      <c r="K38" s="84">
        <f t="array" ref="K38">IFERROR(xlookup(A38,'Market Prices'!A$3:A$61,'Market Prices'!F$3:F$61),"")</f>
        <v>150</v>
      </c>
      <c r="L38" s="53">
        <f t="array" ref="L38">IFERROR(xlookup(A38,'Market Prices'!A$3:A$61,'Market Prices'!E$3:E$61),"")</f>
        <v>100</v>
      </c>
      <c r="M38" s="53">
        <f t="array" ref="M38">IFERROR(xlookup(A38,'Market Prices'!A$3:A$61,'Market Prices'!D$3:D$61),"")</f>
        <v>60</v>
      </c>
      <c r="N38" s="53">
        <f t="array" ref="N38">IFERROR(xlookup(A38,'Market Prices'!A$3:A$61,'Market Prices'!C$3:C$61),"")</f>
        <v>29.45</v>
      </c>
      <c r="O38" s="85">
        <f t="array" ref="O38">IFERROR(IF(AND(A38&lt;&gt;"",E38&lt;&gt;""),ROUNDDOWN(xlookup(A38,Cards!A$3:A$61,Cards!E$3:E$61)*E38,0),""),"")</f>
        <v>7</v>
      </c>
      <c r="P38" s="85">
        <f t="array" ref="P38">IFERROR(IF(AND(A38&lt;&gt;"",F38&lt;&gt;""),ROUNDDOWN(xlookup(A38,Cards!A$3:A$61,Cards!E$3:E$61)*F38,0),""),"")</f>
        <v>3</v>
      </c>
      <c r="Q38" s="85">
        <f t="array" ref="Q38">IFERROR(IF(AND(A38&lt;&gt;"",G38&lt;&gt;""),ROUNDUP(xlookup(A38,Cards!A$3:A$61,Cards!E$3:E$61)*G38,0),""),"")</f>
        <v>1</v>
      </c>
      <c r="R38" s="85">
        <f t="array" ref="R38">IFERROR(IF(AND(A38&lt;&gt;"",H38&lt;&gt;""),ROUNDUP(xlookup(A38,Cards!A$3:A$61,Cards!E$3:E$61)*H38,0),""),"")</f>
        <v>1</v>
      </c>
      <c r="S38" s="86">
        <f t="shared" si="1"/>
        <v>6</v>
      </c>
      <c r="T38" s="85">
        <f t="shared" si="2"/>
        <v>1</v>
      </c>
      <c r="U38" s="87">
        <f t="shared" si="3"/>
        <v>1439.45</v>
      </c>
      <c r="V38" s="88">
        <f t="shared" si="4"/>
        <v>930.05</v>
      </c>
      <c r="W38" s="89">
        <f t="shared" si="5"/>
        <v>1.825775422</v>
      </c>
      <c r="X38" s="87">
        <f t="shared" si="6"/>
        <v>539.45</v>
      </c>
    </row>
    <row r="39" ht="15.0" customHeight="1">
      <c r="A39" s="49" t="s">
        <v>92</v>
      </c>
      <c r="B39" s="82" t="str">
        <f t="array" ref="B39">IFERROR(xlookup(A39,Cards!A$3:A$61,Cards!C$3:C$61),"")</f>
        <v>Tony Tony Chopper</v>
      </c>
      <c r="C39" s="82" t="str">
        <f t="array" ref="C39">IFERROR(xlookup(A39,Cards!A$3:A$61,Cards!D$3:D$61),"")</f>
        <v>Red FIlm Colleciton</v>
      </c>
      <c r="D39" s="53">
        <f t="array" ref="D39">IFERROR(xlookup(A39,Cards!A37:A1036,Cards!K37:K1036),"")</f>
        <v>509.4</v>
      </c>
      <c r="E39" s="83">
        <f t="array" ref="E39">IFERROR(xlookup(A39,'CGC Pop Rates'!A$3:A$61,'CGC Pop Rates'!H$3:H$61),"")</f>
        <v>0.6308411215</v>
      </c>
      <c r="F39" s="83">
        <f t="array" ref="F39">IFERROR(xlookup(A39,'CGC Pop Rates'!A$3:A$61,'CGC Pop Rates'!I$3:I$61),"")</f>
        <v>0.3130841121</v>
      </c>
      <c r="G39" s="83">
        <f t="array" ref="G39">IFERROR(xlookup(A39,'CGC Pop Rates'!A$3:A$61,'CGC Pop Rates'!J$3:J$61),"")</f>
        <v>0.03738317757</v>
      </c>
      <c r="H39" s="83">
        <f t="array" ref="H39">IFERROR(xlookup(A39,'CGC Pop Rates'!A$3:A$61,'CGC Pop Rates'!K$3:K$61),"")</f>
        <v>0.01869158879</v>
      </c>
      <c r="I39" s="82" t="str">
        <f t="array" ref="I39">IFERROR(xlookup(A39,'CGC Pop Rates'!A$3:A$61,'CGC Pop Rates'!D$3:D$61),"")</f>
        <v>Yes</v>
      </c>
      <c r="J39" s="53">
        <v>2000.0</v>
      </c>
      <c r="K39" s="84">
        <f t="array" ref="K39">IFERROR(xlookup(A39,'Market Prices'!A$3:A$61,'Market Prices'!F$3:F$61),"")</f>
        <v>150</v>
      </c>
      <c r="L39" s="53">
        <f t="array" ref="L39">IFERROR(xlookup(A39,'Market Prices'!A$3:A$61,'Market Prices'!E$3:E$61),"")</f>
        <v>65</v>
      </c>
      <c r="M39" s="53">
        <f t="array" ref="M39">IFERROR(xlookup(A39,'Market Prices'!A$3:A$61,'Market Prices'!D$3:D$61),"")</f>
        <v>57</v>
      </c>
      <c r="N39" s="53">
        <f t="array" ref="N39">IFERROR(xlookup(A39,'Market Prices'!A$3:A$61,'Market Prices'!C$3:C$61),"")</f>
        <v>29.45</v>
      </c>
      <c r="O39" s="85">
        <f t="array" ref="O39">IFERROR(IF(AND(A39&lt;&gt;"",E39&lt;&gt;""),ROUNDDOWN(xlookup(A39,Cards!A$3:A$61,Cards!E$3:E$61)*E39,0),""),"")</f>
        <v>7</v>
      </c>
      <c r="P39" s="85">
        <f t="array" ref="P39">IFERROR(IF(AND(A39&lt;&gt;"",F39&lt;&gt;""),ROUNDDOWN(xlookup(A39,Cards!A$3:A$61,Cards!E$3:E$61)*F39,0),""),"")</f>
        <v>3</v>
      </c>
      <c r="Q39" s="85">
        <f t="array" ref="Q39">IFERROR(IF(AND(A39&lt;&gt;"",G39&lt;&gt;""),ROUNDUP(xlookup(A39,Cards!A$3:A$61,Cards!E$3:E$61)*G39,0),""),"")</f>
        <v>1</v>
      </c>
      <c r="R39" s="85">
        <f t="array" ref="R39">IFERROR(IF(AND(A39&lt;&gt;"",H39&lt;&gt;""),ROUNDUP(xlookup(A39,Cards!A$3:A$61,Cards!E$3:E$61)*H39,0),""),"")</f>
        <v>1</v>
      </c>
      <c r="S39" s="86">
        <f t="shared" si="1"/>
        <v>6</v>
      </c>
      <c r="T39" s="85">
        <f t="shared" si="2"/>
        <v>1</v>
      </c>
      <c r="U39" s="87">
        <f t="shared" si="3"/>
        <v>1331.45</v>
      </c>
      <c r="V39" s="88">
        <f t="shared" si="4"/>
        <v>822.05</v>
      </c>
      <c r="W39" s="89">
        <f t="shared" si="5"/>
        <v>1.613761288</v>
      </c>
      <c r="X39" s="87">
        <f t="shared" si="6"/>
        <v>431.45</v>
      </c>
    </row>
    <row r="40" ht="15.0" customHeight="1">
      <c r="A40" s="54" t="s">
        <v>93</v>
      </c>
      <c r="B40" s="82" t="str">
        <f t="array" ref="B40">IFERROR(xlookup(A40,Cards!A$3:A$61,Cards!C$3:C$61),"")</f>
        <v>Roronoa Zoro</v>
      </c>
      <c r="C40" s="82" t="str">
        <f t="array" ref="C40">IFERROR(xlookup(A40,Cards!A$3:A$61,Cards!D$3:D$61),"")</f>
        <v>Red FIlm Colleciton</v>
      </c>
      <c r="D40" s="53">
        <f t="array" ref="D40">IFERROR(xlookup(A40,Cards!A38:A1037,Cards!K38:K1037),"")</f>
        <v>509.4</v>
      </c>
      <c r="E40" s="83">
        <f t="array" ref="E40">IFERROR(xlookup(A40,'CGC Pop Rates'!A$3:A$61,'CGC Pop Rates'!H$3:H$61),"")</f>
        <v>0.6796116505</v>
      </c>
      <c r="F40" s="83">
        <f t="array" ref="F40">IFERROR(xlookup(A40,'CGC Pop Rates'!A$3:A$61,'CGC Pop Rates'!I$3:I$61),"")</f>
        <v>0.2718446602</v>
      </c>
      <c r="G40" s="83">
        <f t="array" ref="G40">IFERROR(xlookup(A40,'CGC Pop Rates'!A$3:A$61,'CGC Pop Rates'!J$3:J$61),"")</f>
        <v>0.04854368932</v>
      </c>
      <c r="H40" s="83">
        <f t="array" ref="H40">IFERROR(xlookup(A40,'CGC Pop Rates'!A$3:A$61,'CGC Pop Rates'!K$3:K$61),"")</f>
        <v>0</v>
      </c>
      <c r="I40" s="82" t="str">
        <f t="array" ref="I40">IFERROR(xlookup(A40,'CGC Pop Rates'!A$3:A$61,'CGC Pop Rates'!D$3:D$61),"")</f>
        <v>Yes</v>
      </c>
      <c r="J40" s="53">
        <v>2000.0</v>
      </c>
      <c r="K40" s="84">
        <f t="array" ref="K40">IFERROR(xlookup(A40,'Market Prices'!A$3:A$61,'Market Prices'!F$3:F$61),"")</f>
        <v>140</v>
      </c>
      <c r="L40" s="53">
        <f t="array" ref="L40">IFERROR(xlookup(A40,'Market Prices'!A$3:A$61,'Market Prices'!E$3:E$61),"")</f>
        <v>65</v>
      </c>
      <c r="M40" s="53">
        <f t="array" ref="M40">IFERROR(xlookup(A40,'Market Prices'!A$3:A$61,'Market Prices'!D$3:D$61),"")</f>
        <v>50</v>
      </c>
      <c r="N40" s="53">
        <f t="array" ref="N40">IFERROR(xlookup(A40,'Market Prices'!A$3:A$61,'Market Prices'!C$3:C$61),"")</f>
        <v>29.45</v>
      </c>
      <c r="O40" s="85">
        <f t="array" ref="O40">IFERROR(IF(AND(A40&lt;&gt;"",E40&lt;&gt;""),ROUNDDOWN(xlookup(A40,Cards!A$3:A$61,Cards!E$3:E$61)*E40,0),""),"")</f>
        <v>8</v>
      </c>
      <c r="P40" s="85">
        <f t="array" ref="P40">IFERROR(IF(AND(A40&lt;&gt;"",F40&lt;&gt;""),ROUNDDOWN(xlookup(A40,Cards!A$3:A$61,Cards!E$3:E$61)*F40,0),""),"")</f>
        <v>3</v>
      </c>
      <c r="Q40" s="85">
        <f t="array" ref="Q40">IFERROR(IF(AND(A40&lt;&gt;"",G40&lt;&gt;""),ROUNDUP(xlookup(A40,Cards!A$3:A$61,Cards!E$3:E$61)*G40,0),""),"")</f>
        <v>1</v>
      </c>
      <c r="R40" s="85">
        <f t="array" ref="R40">IFERROR(IF(AND(A40&lt;&gt;"",H40&lt;&gt;""),ROUNDUP(xlookup(A40,Cards!A$3:A$61,Cards!E$3:E$61)*H40,0),""),"")</f>
        <v>0</v>
      </c>
      <c r="S40" s="86">
        <f t="shared" si="1"/>
        <v>6</v>
      </c>
      <c r="T40" s="85">
        <f t="shared" si="2"/>
        <v>2</v>
      </c>
      <c r="U40" s="87">
        <f t="shared" si="3"/>
        <v>1365</v>
      </c>
      <c r="V40" s="88">
        <f t="shared" si="4"/>
        <v>855.6</v>
      </c>
      <c r="W40" s="89">
        <f t="shared" si="5"/>
        <v>1.679623086</v>
      </c>
      <c r="X40" s="87">
        <f t="shared" si="6"/>
        <v>525</v>
      </c>
    </row>
    <row r="41" ht="15.0" customHeight="1">
      <c r="A41" s="49" t="s">
        <v>94</v>
      </c>
      <c r="B41" s="82" t="str">
        <f t="array" ref="B41">IFERROR(xlookup(A41,Cards!A$3:A$61,Cards!C$3:C$61),"")</f>
        <v>Nami</v>
      </c>
      <c r="C41" s="82" t="str">
        <f t="array" ref="C41">IFERROR(xlookup(A41,Cards!A$3:A$61,Cards!D$3:D$61),"")</f>
        <v>Red FIlm Colleciton</v>
      </c>
      <c r="D41" s="53">
        <f t="array" ref="D41">IFERROR(xlookup(A41,Cards!A39:A1038,Cards!K39:K1038),"")</f>
        <v>509.4</v>
      </c>
      <c r="E41" s="83">
        <f t="array" ref="E41">IFERROR(xlookup(A41,'CGC Pop Rates'!A$3:A$61,'CGC Pop Rates'!H$3:H$61),"")</f>
        <v>0.5840707965</v>
      </c>
      <c r="F41" s="83">
        <f t="array" ref="F41">IFERROR(xlookup(A41,'CGC Pop Rates'!A$3:A$61,'CGC Pop Rates'!I$3:I$61),"")</f>
        <v>0.2876106195</v>
      </c>
      <c r="G41" s="83">
        <f t="array" ref="G41">IFERROR(xlookup(A41,'CGC Pop Rates'!A$3:A$61,'CGC Pop Rates'!J$3:J$61),"")</f>
        <v>0.08849557522</v>
      </c>
      <c r="H41" s="83">
        <f t="array" ref="H41">IFERROR(xlookup(A41,'CGC Pop Rates'!A$3:A$61,'CGC Pop Rates'!K$3:K$61),"")</f>
        <v>0.03982300885</v>
      </c>
      <c r="I41" s="82" t="str">
        <f t="array" ref="I41">IFERROR(xlookup(A41,'CGC Pop Rates'!A$3:A$61,'CGC Pop Rates'!D$3:D$61),"")</f>
        <v>Yes</v>
      </c>
      <c r="J41" s="53">
        <v>2000.0</v>
      </c>
      <c r="K41" s="84">
        <f t="array" ref="K41">IFERROR(xlookup(A41,'Market Prices'!A$3:A$61,'Market Prices'!F$3:F$61),"")</f>
        <v>112</v>
      </c>
      <c r="L41" s="53">
        <f t="array" ref="L41">IFERROR(xlookup(A41,'Market Prices'!A$3:A$61,'Market Prices'!E$3:E$61),"")</f>
        <v>60</v>
      </c>
      <c r="M41" s="53">
        <f t="array" ref="M41">IFERROR(xlookup(A41,'Market Prices'!A$3:A$61,'Market Prices'!D$3:D$61),"")</f>
        <v>46</v>
      </c>
      <c r="N41" s="53">
        <f t="array" ref="N41">IFERROR(xlookup(A41,'Market Prices'!A$3:A$61,'Market Prices'!C$3:C$61),"")</f>
        <v>29.45</v>
      </c>
      <c r="O41" s="85">
        <f t="array" ref="O41">IFERROR(IF(AND(A41&lt;&gt;"",E41&lt;&gt;""),ROUNDDOWN(xlookup(A41,Cards!A$3:A$61,Cards!E$3:E$61)*E41,0),""),"")</f>
        <v>7</v>
      </c>
      <c r="P41" s="85">
        <f t="array" ref="P41">IFERROR(IF(AND(A41&lt;&gt;"",F41&lt;&gt;""),ROUNDDOWN(xlookup(A41,Cards!A$3:A$61,Cards!E$3:E$61)*F41,0),""),"")</f>
        <v>3</v>
      </c>
      <c r="Q41" s="85">
        <f t="array" ref="Q41">IFERROR(IF(AND(A41&lt;&gt;"",G41&lt;&gt;""),ROUNDUP(xlookup(A41,Cards!A$3:A$61,Cards!E$3:E$61)*G41,0),""),"")</f>
        <v>2</v>
      </c>
      <c r="R41" s="85">
        <f t="array" ref="R41">IFERROR(IF(AND(A41&lt;&gt;"",H41&lt;&gt;""),ROUNDUP(xlookup(A41,Cards!A$3:A$61,Cards!E$3:E$61)*H41,0),""),"")</f>
        <v>1</v>
      </c>
      <c r="S41" s="86">
        <f t="shared" si="1"/>
        <v>6</v>
      </c>
      <c r="T41" s="85">
        <f t="shared" si="2"/>
        <v>1</v>
      </c>
      <c r="U41" s="87">
        <f t="shared" si="3"/>
        <v>1085.45</v>
      </c>
      <c r="V41" s="88">
        <f t="shared" si="4"/>
        <v>576.05</v>
      </c>
      <c r="W41" s="89">
        <f t="shared" si="5"/>
        <v>1.130840204</v>
      </c>
      <c r="X41" s="87">
        <f t="shared" si="6"/>
        <v>413.45</v>
      </c>
    </row>
    <row r="42" ht="15.0" customHeight="1">
      <c r="A42" s="54" t="s">
        <v>95</v>
      </c>
      <c r="B42" s="82" t="str">
        <f t="array" ref="B42">IFERROR(xlookup(A42,Cards!A$3:A$61,Cards!C$3:C$61),"")</f>
        <v>Nico Robin</v>
      </c>
      <c r="C42" s="82" t="str">
        <f t="array" ref="C42">IFERROR(xlookup(A42,Cards!A$3:A$61,Cards!D$3:D$61),"")</f>
        <v>Red FIlm Colleciton</v>
      </c>
      <c r="D42" s="53">
        <f t="array" ref="D42">IFERROR(xlookup(A42,Cards!A40:A1039,Cards!K40:K1039),"")</f>
        <v>509.4</v>
      </c>
      <c r="E42" s="83">
        <f t="array" ref="E42">IFERROR(xlookup(A42,'CGC Pop Rates'!A$3:A$61,'CGC Pop Rates'!H$3:H$61),"")</f>
        <v>0.7016574586</v>
      </c>
      <c r="F42" s="83">
        <f t="array" ref="F42">IFERROR(xlookup(A42,'CGC Pop Rates'!A$3:A$61,'CGC Pop Rates'!I$3:I$61),"")</f>
        <v>0.09392265193</v>
      </c>
      <c r="G42" s="83">
        <f t="array" ref="G42">IFERROR(xlookup(A42,'CGC Pop Rates'!A$3:A$61,'CGC Pop Rates'!J$3:J$61),"")</f>
        <v>0.05524861878</v>
      </c>
      <c r="H42" s="83">
        <f t="array" ref="H42">IFERROR(xlookup(A42,'CGC Pop Rates'!A$3:A$61,'CGC Pop Rates'!K$3:K$61),"")</f>
        <v>0.1491712707</v>
      </c>
      <c r="I42" s="82" t="str">
        <f t="array" ref="I42">IFERROR(xlookup(A42,'CGC Pop Rates'!A$3:A$61,'CGC Pop Rates'!D$3:D$61),"")</f>
        <v>Yes</v>
      </c>
      <c r="J42" s="53">
        <v>2000.0</v>
      </c>
      <c r="K42" s="84">
        <f t="array" ref="K42">IFERROR(xlookup(A42,'Market Prices'!A$3:A$61,'Market Prices'!F$3:F$61),"")</f>
        <v>110</v>
      </c>
      <c r="L42" s="53">
        <f t="array" ref="L42">IFERROR(xlookup(A42,'Market Prices'!A$3:A$61,'Market Prices'!E$3:E$61),"")</f>
        <v>60</v>
      </c>
      <c r="M42" s="53">
        <f t="array" ref="M42">IFERROR(xlookup(A42,'Market Prices'!A$3:A$61,'Market Prices'!D$3:D$61),"")</f>
        <v>36</v>
      </c>
      <c r="N42" s="53">
        <f t="array" ref="N42">IFERROR(xlookup(A42,'Market Prices'!A$3:A$61,'Market Prices'!C$3:C$61),"")</f>
        <v>29.45</v>
      </c>
      <c r="O42" s="85">
        <f t="array" ref="O42">IFERROR(IF(AND(A42&lt;&gt;"",E42&lt;&gt;""),ROUNDDOWN(xlookup(A42,Cards!A$3:A$61,Cards!E$3:E$61)*E42,0),""),"")</f>
        <v>8</v>
      </c>
      <c r="P42" s="85">
        <f t="array" ref="P42">IFERROR(IF(AND(A42&lt;&gt;"",F42&lt;&gt;""),ROUNDDOWN(xlookup(A42,Cards!A$3:A$61,Cards!E$3:E$61)*F42,0),""),"")</f>
        <v>1</v>
      </c>
      <c r="Q42" s="85">
        <f t="array" ref="Q42">IFERROR(IF(AND(A42&lt;&gt;"",G42&lt;&gt;""),ROUNDUP(xlookup(A42,Cards!A$3:A$61,Cards!E$3:E$61)*G42,0),""),"")</f>
        <v>1</v>
      </c>
      <c r="R42" s="85">
        <f t="array" ref="R42">IFERROR(IF(AND(A42&lt;&gt;"",H42&lt;&gt;""),ROUNDUP(xlookup(A42,Cards!A$3:A$61,Cards!E$3:E$61)*H42,0),""),"")</f>
        <v>2</v>
      </c>
      <c r="S42" s="86">
        <f t="shared" si="1"/>
        <v>6</v>
      </c>
      <c r="T42" s="85">
        <f t="shared" si="2"/>
        <v>2</v>
      </c>
      <c r="U42" s="87">
        <f t="shared" si="3"/>
        <v>1034.9</v>
      </c>
      <c r="V42" s="88">
        <f t="shared" si="4"/>
        <v>525.5</v>
      </c>
      <c r="W42" s="89">
        <f t="shared" si="5"/>
        <v>1.031605811</v>
      </c>
      <c r="X42" s="87">
        <f t="shared" si="6"/>
        <v>374.9</v>
      </c>
    </row>
    <row r="43" ht="15.0" customHeight="1">
      <c r="A43" s="49" t="s">
        <v>96</v>
      </c>
      <c r="B43" s="82" t="str">
        <f t="array" ref="B43">IFERROR(xlookup(A43,Cards!A$3:A$61,Cards!C$3:C$61),"")</f>
        <v>Shanks</v>
      </c>
      <c r="C43" s="82" t="str">
        <f t="array" ref="C43">IFERROR(xlookup(A43,Cards!A$3:A$61,Cards!D$3:D$61),"")</f>
        <v>Red FIlm Colleciton</v>
      </c>
      <c r="D43" s="53">
        <f t="array" ref="D43">IFERROR(xlookup(A43,Cards!A41:A1040,Cards!K41:K1040),"")</f>
        <v>509.4</v>
      </c>
      <c r="E43" s="83">
        <f t="array" ref="E43">IFERROR(xlookup(A43,'CGC Pop Rates'!A$3:A$61,'CGC Pop Rates'!H$3:H$61),"")</f>
        <v>0.5205479452</v>
      </c>
      <c r="F43" s="83">
        <f t="array" ref="F43">IFERROR(xlookup(A43,'CGC Pop Rates'!A$3:A$61,'CGC Pop Rates'!I$3:I$61),"")</f>
        <v>0.3470319635</v>
      </c>
      <c r="G43" s="83">
        <f t="array" ref="G43">IFERROR(xlookup(A43,'CGC Pop Rates'!A$3:A$61,'CGC Pop Rates'!J$3:J$61),"")</f>
        <v>0.08219178082</v>
      </c>
      <c r="H43" s="83">
        <f t="array" ref="H43">IFERROR(xlookup(A43,'CGC Pop Rates'!A$3:A$61,'CGC Pop Rates'!K$3:K$61),"")</f>
        <v>0.0502283105</v>
      </c>
      <c r="I43" s="82" t="str">
        <f t="array" ref="I43">IFERROR(xlookup(A43,'CGC Pop Rates'!A$3:A$61,'CGC Pop Rates'!D$3:D$61),"")</f>
        <v>Yes</v>
      </c>
      <c r="J43" s="53">
        <v>2000.0</v>
      </c>
      <c r="K43" s="84">
        <f t="array" ref="K43">IFERROR(xlookup(A43,'Market Prices'!A$3:A$61,'Market Prices'!F$3:F$61),"")</f>
        <v>90</v>
      </c>
      <c r="L43" s="53">
        <f t="array" ref="L43">IFERROR(xlookup(A43,'Market Prices'!A$3:A$61,'Market Prices'!E$3:E$61),"")</f>
        <v>45</v>
      </c>
      <c r="M43" s="53">
        <f t="array" ref="M43">IFERROR(xlookup(A43,'Market Prices'!A$3:A$61,'Market Prices'!D$3:D$61),"")</f>
        <v>21</v>
      </c>
      <c r="N43" s="53">
        <f t="array" ref="N43">IFERROR(xlookup(A43,'Market Prices'!A$3:A$61,'Market Prices'!C$3:C$61),"")</f>
        <v>29.45</v>
      </c>
      <c r="O43" s="85">
        <f t="array" ref="O43">IFERROR(IF(AND(A43&lt;&gt;"",E43&lt;&gt;""),ROUNDDOWN(xlookup(A43,Cards!A$3:A$61,Cards!E$3:E$61)*E43,0),""),"")</f>
        <v>6</v>
      </c>
      <c r="P43" s="85">
        <f t="array" ref="P43">IFERROR(IF(AND(A43&lt;&gt;"",F43&lt;&gt;""),ROUNDDOWN(xlookup(A43,Cards!A$3:A$61,Cards!E$3:E$61)*F43,0),""),"")</f>
        <v>4</v>
      </c>
      <c r="Q43" s="85">
        <f t="array" ref="Q43">IFERROR(IF(AND(A43&lt;&gt;"",G43&lt;&gt;""),ROUNDUP(xlookup(A43,Cards!A$3:A$61,Cards!E$3:E$61)*G43,0),""),"")</f>
        <v>1</v>
      </c>
      <c r="R43" s="85">
        <f t="array" ref="R43">IFERROR(IF(AND(A43&lt;&gt;"",H43&lt;&gt;""),ROUNDUP(xlookup(A43,Cards!A$3:A$61,Cards!E$3:E$61)*H43,0),""),"")</f>
        <v>1</v>
      </c>
      <c r="S43" s="86">
        <f t="shared" si="1"/>
        <v>6</v>
      </c>
      <c r="T43" s="85">
        <f t="shared" si="2"/>
        <v>0</v>
      </c>
      <c r="U43" s="87">
        <f t="shared" si="3"/>
        <v>770.45</v>
      </c>
      <c r="V43" s="88">
        <f t="shared" si="4"/>
        <v>261.05</v>
      </c>
      <c r="W43" s="89">
        <f t="shared" si="5"/>
        <v>0.5124656459</v>
      </c>
      <c r="X43" s="87">
        <f t="shared" si="6"/>
        <v>230.45</v>
      </c>
    </row>
    <row r="44" ht="15.0" customHeight="1">
      <c r="A44" s="54" t="s">
        <v>97</v>
      </c>
      <c r="B44" s="82" t="str">
        <f t="array" ref="B44">IFERROR(xlookup(A44,Cards!A$3:A$61,Cards!C$3:C$61),"")</f>
        <v>Sanji</v>
      </c>
      <c r="C44" s="82" t="str">
        <f t="array" ref="C44">IFERROR(xlookup(A44,Cards!A$3:A$61,Cards!D$3:D$61),"")</f>
        <v>Red FIlm Colleciton</v>
      </c>
      <c r="D44" s="53">
        <f t="array" ref="D44">IFERROR(xlookup(A44,Cards!A42:A1041,Cards!K42:K1041),"")</f>
        <v>509.4</v>
      </c>
      <c r="E44" s="83">
        <f t="array" ref="E44">IFERROR(xlookup(A44,'CGC Pop Rates'!A$3:A$61,'CGC Pop Rates'!H$3:H$61),"")</f>
        <v>0.6571428571</v>
      </c>
      <c r="F44" s="83">
        <f t="array" ref="F44">IFERROR(xlookup(A44,'CGC Pop Rates'!A$3:A$61,'CGC Pop Rates'!I$3:I$61),"")</f>
        <v>0.280952381</v>
      </c>
      <c r="G44" s="83">
        <f t="array" ref="G44">IFERROR(xlookup(A44,'CGC Pop Rates'!A$3:A$61,'CGC Pop Rates'!J$3:J$61),"")</f>
        <v>0.05714285714</v>
      </c>
      <c r="H44" s="83">
        <f t="array" ref="H44">IFERROR(xlookup(A44,'CGC Pop Rates'!A$3:A$61,'CGC Pop Rates'!K$3:K$61),"")</f>
        <v>0.004761904762</v>
      </c>
      <c r="I44" s="82" t="str">
        <f t="array" ref="I44">IFERROR(xlookup(A44,'CGC Pop Rates'!A$3:A$61,'CGC Pop Rates'!D$3:D$61),"")</f>
        <v>Yes</v>
      </c>
      <c r="J44" s="53">
        <v>2000.0</v>
      </c>
      <c r="K44" s="84">
        <f t="array" ref="K44">IFERROR(xlookup(A44,'Market Prices'!A$3:A$61,'Market Prices'!F$3:F$61),"")</f>
        <v>100</v>
      </c>
      <c r="L44" s="53">
        <f t="array" ref="L44">IFERROR(xlookup(A44,'Market Prices'!A$3:A$61,'Market Prices'!E$3:E$61),"")</f>
        <v>40</v>
      </c>
      <c r="M44" s="53">
        <f t="array" ref="M44">IFERROR(xlookup(A44,'Market Prices'!A$3:A$61,'Market Prices'!D$3:D$61),"")</f>
        <v>17</v>
      </c>
      <c r="N44" s="53">
        <f t="array" ref="N44">IFERROR(xlookup(A44,'Market Prices'!A$3:A$61,'Market Prices'!C$3:C$61),"")</f>
        <v>29.45</v>
      </c>
      <c r="O44" s="85">
        <f t="array" ref="O44">IFERROR(IF(AND(A44&lt;&gt;"",E44&lt;&gt;""),ROUNDDOWN(xlookup(A44,Cards!A$3:A$61,Cards!E$3:E$61)*E44,0),""),"")</f>
        <v>7</v>
      </c>
      <c r="P44" s="85">
        <f t="array" ref="P44">IFERROR(IF(AND(A44&lt;&gt;"",F44&lt;&gt;""),ROUNDDOWN(xlookup(A44,Cards!A$3:A$61,Cards!E$3:E$61)*F44,0),""),"")</f>
        <v>3</v>
      </c>
      <c r="Q44" s="85">
        <f t="array" ref="Q44">IFERROR(IF(AND(A44&lt;&gt;"",G44&lt;&gt;""),ROUNDUP(xlookup(A44,Cards!A$3:A$61,Cards!E$3:E$61)*G44,0),""),"")</f>
        <v>1</v>
      </c>
      <c r="R44" s="85">
        <f t="array" ref="R44">IFERROR(IF(AND(A44&lt;&gt;"",H44&lt;&gt;""),ROUNDUP(xlookup(A44,Cards!A$3:A$61,Cards!E$3:E$61)*H44,0),""),"")</f>
        <v>1</v>
      </c>
      <c r="S44" s="86">
        <f t="shared" si="1"/>
        <v>6</v>
      </c>
      <c r="T44" s="85">
        <f t="shared" si="2"/>
        <v>1</v>
      </c>
      <c r="U44" s="87">
        <f t="shared" si="3"/>
        <v>866.45</v>
      </c>
      <c r="V44" s="88">
        <f t="shared" si="4"/>
        <v>357.05</v>
      </c>
      <c r="W44" s="89">
        <f t="shared" si="5"/>
        <v>0.7009226541</v>
      </c>
      <c r="X44" s="87">
        <f t="shared" si="6"/>
        <v>266.45</v>
      </c>
    </row>
    <row r="45" ht="15.0" customHeight="1">
      <c r="A45" s="49" t="s">
        <v>98</v>
      </c>
      <c r="B45" s="82" t="str">
        <f t="array" ref="B45">IFERROR(xlookup(A45,Cards!A$3:A$61,Cards!C$3:C$61),"")</f>
        <v>Uta</v>
      </c>
      <c r="C45" s="82" t="str">
        <f t="array" ref="C45">IFERROR(xlookup(A45,Cards!A$3:A$61,Cards!D$3:D$61),"")</f>
        <v>Red FIlm Colleciton</v>
      </c>
      <c r="D45" s="53">
        <f t="array" ref="D45">IFERROR(xlookup(A45,Cards!A43:A1042,Cards!K43:K1042),"")</f>
        <v>509.4</v>
      </c>
      <c r="E45" s="83">
        <f t="array" ref="E45">IFERROR(xlookup(A45,'CGC Pop Rates'!A$3:A$61,'CGC Pop Rates'!H$3:H$61),"")</f>
        <v>0.5497382199</v>
      </c>
      <c r="F45" s="83">
        <f t="array" ref="F45">IFERROR(xlookup(A45,'CGC Pop Rates'!A$3:A$61,'CGC Pop Rates'!I$3:I$61),"")</f>
        <v>0.3507853403</v>
      </c>
      <c r="G45" s="83">
        <f t="array" ref="G45">IFERROR(xlookup(A45,'CGC Pop Rates'!A$3:A$61,'CGC Pop Rates'!J$3:J$61),"")</f>
        <v>0.06806282723</v>
      </c>
      <c r="H45" s="83">
        <f t="array" ref="H45">IFERROR(xlookup(A45,'CGC Pop Rates'!A$3:A$61,'CGC Pop Rates'!K$3:K$61),"")</f>
        <v>0.03141361257</v>
      </c>
      <c r="I45" s="82" t="str">
        <f t="array" ref="I45">IFERROR(xlookup(A45,'CGC Pop Rates'!A$3:A$61,'CGC Pop Rates'!D$3:D$61),"")</f>
        <v>Yes</v>
      </c>
      <c r="J45" s="53">
        <v>2000.0</v>
      </c>
      <c r="K45" s="84">
        <f t="array" ref="K45">IFERROR(xlookup(A45,'Market Prices'!A$3:A$61,'Market Prices'!F$3:F$61),"")</f>
        <v>150</v>
      </c>
      <c r="L45" s="53">
        <f t="array" ref="L45">IFERROR(xlookup(A45,'Market Prices'!A$3:A$61,'Market Prices'!E$3:E$61),"")</f>
        <v>70</v>
      </c>
      <c r="M45" s="53">
        <f t="array" ref="M45">IFERROR(xlookup(A45,'Market Prices'!A$3:A$61,'Market Prices'!D$3:D$61),"")</f>
        <v>17</v>
      </c>
      <c r="N45" s="53">
        <f t="array" ref="N45">IFERROR(xlookup(A45,'Market Prices'!A$3:A$61,'Market Prices'!C$3:C$61),"")</f>
        <v>29.45</v>
      </c>
      <c r="O45" s="85">
        <f t="array" ref="O45">IFERROR(IF(AND(A45&lt;&gt;"",E45&lt;&gt;""),ROUNDDOWN(xlookup(A45,Cards!A$3:A$61,Cards!E$3:E$61)*E45,0),""),"")</f>
        <v>6</v>
      </c>
      <c r="P45" s="85">
        <f t="array" ref="P45">IFERROR(IF(AND(A45&lt;&gt;"",F45&lt;&gt;""),ROUNDDOWN(xlookup(A45,Cards!A$3:A$61,Cards!E$3:E$61)*F45,0),""),"")</f>
        <v>4</v>
      </c>
      <c r="Q45" s="85">
        <f t="array" ref="Q45">IFERROR(IF(AND(A45&lt;&gt;"",G45&lt;&gt;""),ROUNDUP(xlookup(A45,Cards!A$3:A$61,Cards!E$3:E$61)*G45,0),""),"")</f>
        <v>1</v>
      </c>
      <c r="R45" s="85">
        <f t="array" ref="R45">IFERROR(IF(AND(A45&lt;&gt;"",H45&lt;&gt;""),ROUNDUP(xlookup(A45,Cards!A$3:A$61,Cards!E$3:E$61)*H45,0),""),"")</f>
        <v>1</v>
      </c>
      <c r="S45" s="86">
        <f t="shared" si="1"/>
        <v>6</v>
      </c>
      <c r="T45" s="85">
        <f t="shared" si="2"/>
        <v>0</v>
      </c>
      <c r="U45" s="87">
        <f t="shared" si="3"/>
        <v>1226.45</v>
      </c>
      <c r="V45" s="88">
        <f t="shared" si="4"/>
        <v>717.05</v>
      </c>
      <c r="W45" s="89">
        <f t="shared" si="5"/>
        <v>1.407636435</v>
      </c>
      <c r="X45" s="87">
        <f t="shared" si="6"/>
        <v>326.45</v>
      </c>
    </row>
    <row r="46" ht="15.0" customHeight="1">
      <c r="A46" s="54" t="s">
        <v>100</v>
      </c>
      <c r="B46" s="82" t="str">
        <f t="array" ref="B46">IFERROR(xlookup(A46,Cards!A$3:A$61,Cards!C$3:C$61),"")</f>
        <v>Brook</v>
      </c>
      <c r="C46" s="82" t="str">
        <f t="array" ref="C46">IFERROR(xlookup(A46,Cards!A$3:A$61,Cards!D$3:D$61),"")</f>
        <v>Red FIlm Colleciton</v>
      </c>
      <c r="D46" s="53">
        <f t="array" ref="D46">IFERROR(xlookup(A46,Cards!A44:A1043,Cards!K44:K1043),"")</f>
        <v>509.4</v>
      </c>
      <c r="E46" s="83">
        <f t="array" ref="E46">IFERROR(xlookup(A46,'CGC Pop Rates'!A$3:A$61,'CGC Pop Rates'!H$3:H$61),"")</f>
        <v>0.6614583333</v>
      </c>
      <c r="F46" s="83">
        <f t="array" ref="F46">IFERROR(xlookup(A46,'CGC Pop Rates'!A$3:A$61,'CGC Pop Rates'!I$3:I$61),"")</f>
        <v>0.2916666667</v>
      </c>
      <c r="G46" s="83">
        <f t="array" ref="G46">IFERROR(xlookup(A46,'CGC Pop Rates'!A$3:A$61,'CGC Pop Rates'!J$3:J$61),"")</f>
        <v>0.03125</v>
      </c>
      <c r="H46" s="83">
        <f t="array" ref="H46">IFERROR(xlookup(A46,'CGC Pop Rates'!A$3:A$61,'CGC Pop Rates'!K$3:K$61),"")</f>
        <v>0.015625</v>
      </c>
      <c r="I46" s="82" t="str">
        <f t="array" ref="I46">IFERROR(xlookup(A46,'CGC Pop Rates'!A$3:A$61,'CGC Pop Rates'!D$3:D$61),"")</f>
        <v>Yes</v>
      </c>
      <c r="J46" s="53">
        <v>2000.0</v>
      </c>
      <c r="K46" s="84">
        <f t="array" ref="K46">IFERROR(xlookup(A46,'Market Prices'!A$3:A$61,'Market Prices'!F$3:F$61),"")</f>
        <v>70</v>
      </c>
      <c r="L46" s="53">
        <f t="array" ref="L46">IFERROR(xlookup(A46,'Market Prices'!A$3:A$61,'Market Prices'!E$3:E$61),"")</f>
        <v>38</v>
      </c>
      <c r="M46" s="53">
        <f t="array" ref="M46">IFERROR(xlookup(A46,'Market Prices'!A$3:A$61,'Market Prices'!D$3:D$61),"")</f>
        <v>17</v>
      </c>
      <c r="N46" s="53">
        <f t="array" ref="N46">IFERROR(xlookup(A46,'Market Prices'!A$3:A$61,'Market Prices'!C$3:C$61),"")</f>
        <v>29.45</v>
      </c>
      <c r="O46" s="85">
        <f t="array" ref="O46">IFERROR(IF(AND(A46&lt;&gt;"",E46&lt;&gt;""),ROUNDDOWN(xlookup(A46,Cards!A$3:A$61,Cards!E$3:E$61)*E46,0),""),"")</f>
        <v>7</v>
      </c>
      <c r="P46" s="85">
        <f t="array" ref="P46">IFERROR(IF(AND(A46&lt;&gt;"",F46&lt;&gt;""),ROUNDDOWN(xlookup(A46,Cards!A$3:A$61,Cards!E$3:E$61)*F46,0),""),"")</f>
        <v>3</v>
      </c>
      <c r="Q46" s="85">
        <f t="array" ref="Q46">IFERROR(IF(AND(A46&lt;&gt;"",G46&lt;&gt;""),ROUNDUP(xlookup(A46,Cards!A$3:A$61,Cards!E$3:E$61)*G46,0),""),"")</f>
        <v>1</v>
      </c>
      <c r="R46" s="85">
        <f t="array" ref="R46">IFERROR(IF(AND(A46&lt;&gt;"",H46&lt;&gt;""),ROUNDUP(xlookup(A46,Cards!A$3:A$61,Cards!E$3:E$61)*H46,0),""),"")</f>
        <v>1</v>
      </c>
      <c r="S46" s="86">
        <f t="shared" si="1"/>
        <v>6</v>
      </c>
      <c r="T46" s="85">
        <f t="shared" si="2"/>
        <v>1</v>
      </c>
      <c r="U46" s="87">
        <f t="shared" si="3"/>
        <v>650.45</v>
      </c>
      <c r="V46" s="88">
        <f t="shared" si="4"/>
        <v>141.05</v>
      </c>
      <c r="W46" s="89">
        <f t="shared" si="5"/>
        <v>0.2768943856</v>
      </c>
      <c r="X46" s="87">
        <f t="shared" si="6"/>
        <v>230.45</v>
      </c>
    </row>
    <row r="47" ht="15.0" customHeight="1">
      <c r="A47" s="49" t="s">
        <v>101</v>
      </c>
      <c r="B47" s="82" t="str">
        <f t="array" ref="B47">IFERROR(xlookup(A47,Cards!A$3:A$61,Cards!C$3:C$61),"")</f>
        <v>Usopp</v>
      </c>
      <c r="C47" s="82" t="str">
        <f t="array" ref="C47">IFERROR(xlookup(A47,Cards!A$3:A$61,Cards!D$3:D$61),"")</f>
        <v>Red FIlm Colleciton</v>
      </c>
      <c r="D47" s="53">
        <f t="array" ref="D47">IFERROR(xlookup(A47,Cards!A45:A1044,Cards!K45:K1044),"")</f>
        <v>509.4</v>
      </c>
      <c r="E47" s="83">
        <f t="array" ref="E47">IFERROR(xlookup(A47,'CGC Pop Rates'!A$3:A$61,'CGC Pop Rates'!H$3:H$61),"")</f>
        <v>0.7083333333</v>
      </c>
      <c r="F47" s="83">
        <f t="array" ref="F47">IFERROR(xlookup(A47,'CGC Pop Rates'!A$3:A$61,'CGC Pop Rates'!I$3:I$61),"")</f>
        <v>0.1875</v>
      </c>
      <c r="G47" s="83">
        <f t="array" ref="G47">IFERROR(xlookup(A47,'CGC Pop Rates'!A$3:A$61,'CGC Pop Rates'!J$3:J$61),"")</f>
        <v>0.06770833333</v>
      </c>
      <c r="H47" s="83">
        <f t="array" ref="H47">IFERROR(xlookup(A47,'CGC Pop Rates'!A$3:A$61,'CGC Pop Rates'!K$3:K$61),"")</f>
        <v>0.03645833333</v>
      </c>
      <c r="I47" s="82" t="str">
        <f t="array" ref="I47">IFERROR(xlookup(A47,'CGC Pop Rates'!A$3:A$61,'CGC Pop Rates'!D$3:D$61),"")</f>
        <v>Yes</v>
      </c>
      <c r="J47" s="53">
        <v>2000.0</v>
      </c>
      <c r="K47" s="84">
        <f t="array" ref="K47">IFERROR(xlookup(A47,'Market Prices'!A$3:A$61,'Market Prices'!F$3:F$61),"")</f>
        <v>58</v>
      </c>
      <c r="L47" s="53">
        <f t="array" ref="L47">IFERROR(xlookup(A47,'Market Prices'!A$3:A$61,'Market Prices'!E$3:E$61),"")</f>
        <v>50</v>
      </c>
      <c r="M47" s="53">
        <f t="array" ref="M47">IFERROR(xlookup(A47,'Market Prices'!A$3:A$61,'Market Prices'!D$3:D$61),"")</f>
        <v>7</v>
      </c>
      <c r="N47" s="53">
        <f t="array" ref="N47">IFERROR(xlookup(A47,'Market Prices'!A$3:A$61,'Market Prices'!C$3:C$61),"")</f>
        <v>29.45</v>
      </c>
      <c r="O47" s="85">
        <f t="array" ref="O47">IFERROR(IF(AND(A47&lt;&gt;"",E47&lt;&gt;""),ROUNDDOWN(xlookup(A47,Cards!A$3:A$61,Cards!E$3:E$61)*E47,0),""),"")</f>
        <v>8</v>
      </c>
      <c r="P47" s="85">
        <f t="array" ref="P47">IFERROR(IF(AND(A47&lt;&gt;"",F47&lt;&gt;""),ROUNDDOWN(xlookup(A47,Cards!A$3:A$61,Cards!E$3:E$61)*F47,0),""),"")</f>
        <v>2</v>
      </c>
      <c r="Q47" s="85">
        <f t="array" ref="Q47">IFERROR(IF(AND(A47&lt;&gt;"",G47&lt;&gt;""),ROUNDUP(xlookup(A47,Cards!A$3:A$61,Cards!E$3:E$61)*G47,0),""),"")</f>
        <v>1</v>
      </c>
      <c r="R47" s="85">
        <f t="array" ref="R47">IFERROR(IF(AND(A47&lt;&gt;"",H47&lt;&gt;""),ROUNDUP(xlookup(A47,Cards!A$3:A$61,Cards!E$3:E$61)*H47,0),""),"")</f>
        <v>1</v>
      </c>
      <c r="S47" s="86">
        <f t="shared" si="1"/>
        <v>6</v>
      </c>
      <c r="T47" s="85">
        <f t="shared" si="2"/>
        <v>2</v>
      </c>
      <c r="U47" s="87">
        <f t="shared" si="3"/>
        <v>600.45</v>
      </c>
      <c r="V47" s="88">
        <f t="shared" si="4"/>
        <v>91.05</v>
      </c>
      <c r="W47" s="89">
        <f t="shared" si="5"/>
        <v>0.1787396938</v>
      </c>
      <c r="X47" s="87">
        <f t="shared" si="6"/>
        <v>252.45</v>
      </c>
    </row>
    <row r="48" ht="15.0" customHeight="1">
      <c r="A48" s="54" t="s">
        <v>102</v>
      </c>
      <c r="B48" s="82" t="str">
        <f t="array" ref="B48">IFERROR(xlookup(A48,Cards!A$3:A$61,Cards!C$3:C$61),"")</f>
        <v>Jinbe</v>
      </c>
      <c r="C48" s="82" t="str">
        <f t="array" ref="C48">IFERROR(xlookup(A48,Cards!A$3:A$61,Cards!D$3:D$61),"")</f>
        <v>Red FIlm Colleciton</v>
      </c>
      <c r="D48" s="53">
        <f t="array" ref="D48">IFERROR(xlookup(A48,Cards!A46:A1045,Cards!K46:K1045),"")</f>
        <v>509.4</v>
      </c>
      <c r="E48" s="83">
        <f t="array" ref="E48">IFERROR(xlookup(A48,'CGC Pop Rates'!A$3:A$61,'CGC Pop Rates'!H$3:H$61),"")</f>
        <v>0.6470588235</v>
      </c>
      <c r="F48" s="83">
        <f t="array" ref="F48">IFERROR(xlookup(A48,'CGC Pop Rates'!A$3:A$61,'CGC Pop Rates'!I$3:I$61),"")</f>
        <v>0.2727272727</v>
      </c>
      <c r="G48" s="83">
        <f t="array" ref="G48">IFERROR(xlookup(A48,'CGC Pop Rates'!A$3:A$61,'CGC Pop Rates'!J$3:J$61),"")</f>
        <v>0.04278074866</v>
      </c>
      <c r="H48" s="83">
        <f t="array" ref="H48">IFERROR(xlookup(A48,'CGC Pop Rates'!A$3:A$61,'CGC Pop Rates'!K$3:K$61),"")</f>
        <v>0.03743315508</v>
      </c>
      <c r="I48" s="82" t="str">
        <f t="array" ref="I48">IFERROR(xlookup(A48,'CGC Pop Rates'!A$3:A$61,'CGC Pop Rates'!D$3:D$61),"")</f>
        <v>Yes</v>
      </c>
      <c r="J48" s="53">
        <v>2000.0</v>
      </c>
      <c r="K48" s="84">
        <f t="array" ref="K48">IFERROR(xlookup(A48,'Market Prices'!A$3:A$61,'Market Prices'!F$3:F$61),"")</f>
        <v>50</v>
      </c>
      <c r="L48" s="53">
        <f t="array" ref="L48">IFERROR(xlookup(A48,'Market Prices'!A$3:A$61,'Market Prices'!E$3:E$61),"")</f>
        <v>25</v>
      </c>
      <c r="M48" s="53">
        <f t="array" ref="M48">IFERROR(xlookup(A48,'Market Prices'!A$3:A$61,'Market Prices'!D$3:D$61),"")</f>
        <v>6</v>
      </c>
      <c r="N48" s="53">
        <f t="array" ref="N48">IFERROR(xlookup(A48,'Market Prices'!A$3:A$61,'Market Prices'!C$3:C$61),"")</f>
        <v>29.45</v>
      </c>
      <c r="O48" s="85">
        <f t="array" ref="O48">IFERROR(IF(AND(A48&lt;&gt;"",E48&lt;&gt;""),ROUNDDOWN(xlookup(A48,Cards!A$3:A$61,Cards!E$3:E$61)*E48,0),""),"")</f>
        <v>7</v>
      </c>
      <c r="P48" s="85">
        <f t="array" ref="P48">IFERROR(IF(AND(A48&lt;&gt;"",F48&lt;&gt;""),ROUNDDOWN(xlookup(A48,Cards!A$3:A$61,Cards!E$3:E$61)*F48,0),""),"")</f>
        <v>3</v>
      </c>
      <c r="Q48" s="85">
        <f t="array" ref="Q48">IFERROR(IF(AND(A48&lt;&gt;"",G48&lt;&gt;""),ROUNDUP(xlookup(A48,Cards!A$3:A$61,Cards!E$3:E$61)*G48,0),""),"")</f>
        <v>1</v>
      </c>
      <c r="R48" s="85">
        <f t="array" ref="R48">IFERROR(IF(AND(A48&lt;&gt;"",H48&lt;&gt;""),ROUNDUP(xlookup(A48,Cards!A$3:A$61,Cards!E$3:E$61)*H48,0),""),"")</f>
        <v>1</v>
      </c>
      <c r="S48" s="86">
        <f t="shared" si="1"/>
        <v>6</v>
      </c>
      <c r="T48" s="85">
        <f t="shared" si="2"/>
        <v>1</v>
      </c>
      <c r="U48" s="87">
        <f t="shared" si="3"/>
        <v>460.45</v>
      </c>
      <c r="V48" s="88">
        <f t="shared" si="4"/>
        <v>-48.95</v>
      </c>
      <c r="W48" s="89">
        <f t="shared" si="5"/>
        <v>-0.09609344327</v>
      </c>
      <c r="X48" s="87">
        <f t="shared" si="6"/>
        <v>160.45</v>
      </c>
    </row>
    <row r="49" ht="15.0" customHeight="1">
      <c r="A49" s="49" t="s">
        <v>103</v>
      </c>
      <c r="B49" s="82" t="str">
        <f t="array" ref="B49">IFERROR(xlookup(A49,Cards!A$3:A$61,Cards!C$3:C$61),"")</f>
        <v>Franky</v>
      </c>
      <c r="C49" s="82" t="str">
        <f t="array" ref="C49">IFERROR(xlookup(A49,Cards!A$3:A$61,Cards!D$3:D$61),"")</f>
        <v>Red FIlm Colleciton</v>
      </c>
      <c r="D49" s="53">
        <f t="array" ref="D49">IFERROR(xlookup(A49,Cards!A47:A1046,Cards!K47:K1046),"")</f>
        <v>509.4</v>
      </c>
      <c r="E49" s="83">
        <f t="array" ref="E49">IFERROR(xlookup(A49,'CGC Pop Rates'!A$3:A$61,'CGC Pop Rates'!H$3:H$61),"")</f>
        <v>0.6153846154</v>
      </c>
      <c r="F49" s="83">
        <f t="array" ref="F49">IFERROR(xlookup(A49,'CGC Pop Rates'!A$3:A$61,'CGC Pop Rates'!I$3:I$61),"")</f>
        <v>0.3435897436</v>
      </c>
      <c r="G49" s="83">
        <f t="array" ref="G49">IFERROR(xlookup(A49,'CGC Pop Rates'!A$3:A$61,'CGC Pop Rates'!J$3:J$61),"")</f>
        <v>0.01538461538</v>
      </c>
      <c r="H49" s="83">
        <f t="array" ref="H49">IFERROR(xlookup(A49,'CGC Pop Rates'!A$3:A$61,'CGC Pop Rates'!K$3:K$61),"")</f>
        <v>0.02564102564</v>
      </c>
      <c r="I49" s="82" t="str">
        <f t="array" ref="I49">IFERROR(xlookup(A49,'CGC Pop Rates'!A$3:A$61,'CGC Pop Rates'!D$3:D$61),"")</f>
        <v>Yes</v>
      </c>
      <c r="J49" s="53">
        <v>2000.0</v>
      </c>
      <c r="K49" s="84">
        <f t="array" ref="K49">IFERROR(xlookup(A49,'Market Prices'!A$3:A$61,'Market Prices'!F$3:F$61),"")</f>
        <v>45</v>
      </c>
      <c r="L49" s="53">
        <f t="array" ref="L49">IFERROR(xlookup(A49,'Market Prices'!A$3:A$61,'Market Prices'!E$3:E$61),"")</f>
        <v>35</v>
      </c>
      <c r="M49" s="53">
        <f t="array" ref="M49">IFERROR(xlookup(A49,'Market Prices'!A$3:A$61,'Market Prices'!D$3:D$61),"")</f>
        <v>5</v>
      </c>
      <c r="N49" s="53">
        <f t="array" ref="N49">IFERROR(xlookup(A49,'Market Prices'!A$3:A$61,'Market Prices'!C$3:C$61),"")</f>
        <v>29.45</v>
      </c>
      <c r="O49" s="85">
        <f t="array" ref="O49">IFERROR(IF(AND(A49&lt;&gt;"",E49&lt;&gt;""),ROUNDDOWN(xlookup(A49,Cards!A$3:A$61,Cards!E$3:E$61)*E49,0),""),"")</f>
        <v>7</v>
      </c>
      <c r="P49" s="85">
        <f t="array" ref="P49">IFERROR(IF(AND(A49&lt;&gt;"",F49&lt;&gt;""),ROUNDDOWN(xlookup(A49,Cards!A$3:A$61,Cards!E$3:E$61)*F49,0),""),"")</f>
        <v>4</v>
      </c>
      <c r="Q49" s="85">
        <f t="array" ref="Q49">IFERROR(IF(AND(A49&lt;&gt;"",G49&lt;&gt;""),ROUNDUP(xlookup(A49,Cards!A$3:A$61,Cards!E$3:E$61)*G49,0),""),"")</f>
        <v>1</v>
      </c>
      <c r="R49" s="85">
        <f t="array" ref="R49">IFERROR(IF(AND(A49&lt;&gt;"",H49&lt;&gt;""),ROUNDUP(xlookup(A49,Cards!A$3:A$61,Cards!E$3:E$61)*H49,0),""),"")</f>
        <v>1</v>
      </c>
      <c r="S49" s="86">
        <f t="shared" si="1"/>
        <v>6</v>
      </c>
      <c r="T49" s="85">
        <f t="shared" si="2"/>
        <v>1</v>
      </c>
      <c r="U49" s="87">
        <f t="shared" si="3"/>
        <v>489.45</v>
      </c>
      <c r="V49" s="88">
        <f t="shared" si="4"/>
        <v>-19.95</v>
      </c>
      <c r="W49" s="89">
        <f t="shared" si="5"/>
        <v>-0.03916372203</v>
      </c>
      <c r="X49" s="87">
        <f t="shared" si="6"/>
        <v>219.45</v>
      </c>
    </row>
    <row r="50" ht="15.0" customHeight="1">
      <c r="A50" s="54" t="s">
        <v>104</v>
      </c>
      <c r="B50" s="82" t="str">
        <f t="array" ref="B50">IFERROR(xlookup(A50,Cards!A$3:A$61,Cards!C$3:C$61),"")</f>
        <v>Sabo</v>
      </c>
      <c r="C50" s="82" t="str">
        <f t="array" ref="C50">IFERROR(xlookup(A50,Cards!A$3:A$61,Cards!D$3:D$61),"")</f>
        <v>Best Selection Vol. 3</v>
      </c>
      <c r="D50" s="53">
        <f t="array" ref="D50">IFERROR(xlookup(A50,Cards!A48:A1047,Cards!K48:K1047),"")</f>
        <v>84.88</v>
      </c>
      <c r="E50" s="83">
        <f t="array" ref="E50">IFERROR(xlookup(A50,'CGC Pop Rates'!A$3:A$61,'CGC Pop Rates'!H$3:H$61),"")</f>
        <v>0.6071428571</v>
      </c>
      <c r="F50" s="83">
        <f t="array" ref="F50">IFERROR(xlookup(A50,'CGC Pop Rates'!A$3:A$61,'CGC Pop Rates'!I$3:I$61),"")</f>
        <v>0.2008928571</v>
      </c>
      <c r="G50" s="83">
        <f t="array" ref="G50">IFERROR(xlookup(A50,'CGC Pop Rates'!A$3:A$61,'CGC Pop Rates'!J$3:J$61),"")</f>
        <v>0.1651785714</v>
      </c>
      <c r="H50" s="83">
        <f t="array" ref="H50">IFERROR(xlookup(A50,'CGC Pop Rates'!A$3:A$61,'CGC Pop Rates'!K$3:K$61),"")</f>
        <v>0.02678571429</v>
      </c>
      <c r="I50" s="82" t="str">
        <f t="array" ref="I50">IFERROR(xlookup(A50,'CGC Pop Rates'!A$3:A$61,'CGC Pop Rates'!D$3:D$61),"")</f>
        <v>Yes</v>
      </c>
      <c r="J50" s="53">
        <v>800.0</v>
      </c>
      <c r="K50" s="84">
        <f t="array" ref="K50">IFERROR(xlookup(A50,'Market Prices'!A$3:A$61,'Market Prices'!F$3:F$61),"")</f>
        <v>30</v>
      </c>
      <c r="L50" s="53">
        <f t="array" ref="L50">IFERROR(xlookup(A50,'Market Prices'!A$3:A$61,'Market Prices'!E$3:E$61),"")</f>
        <v>15</v>
      </c>
      <c r="M50" s="53">
        <f t="array" ref="M50">IFERROR(xlookup(A50,'Market Prices'!A$3:A$61,'Market Prices'!D$3:D$61),"")</f>
        <v>3</v>
      </c>
      <c r="N50" s="53">
        <f t="array" ref="N50">IFERROR(xlookup(A50,'Market Prices'!A$3:A$61,'Market Prices'!C$3:C$61),"")</f>
        <v>8.22</v>
      </c>
      <c r="O50" s="85">
        <f t="array" ref="O50">IFERROR(IF(AND(A50&lt;&gt;"",E50&lt;&gt;""),ROUNDDOWN(xlookup(A50,Cards!A$3:A$61,Cards!E$3:E$61)*E50,0),""),"")</f>
        <v>2</v>
      </c>
      <c r="P50" s="85">
        <f t="array" ref="P50">IFERROR(IF(AND(A50&lt;&gt;"",F50&lt;&gt;""),ROUNDDOWN(xlookup(A50,Cards!A$3:A$61,Cards!E$3:E$61)*F50,0),""),"")</f>
        <v>0</v>
      </c>
      <c r="Q50" s="85">
        <f t="array" ref="Q50">IFERROR(IF(AND(A50&lt;&gt;"",G50&lt;&gt;""),ROUNDUP(xlookup(A50,Cards!A$3:A$61,Cards!E$3:E$61)*G50,0),""),"")</f>
        <v>1</v>
      </c>
      <c r="R50" s="85">
        <f t="array" ref="R50">IFERROR(IF(AND(A50&lt;&gt;"",H50&lt;&gt;""),ROUNDUP(xlookup(A50,Cards!A$3:A$61,Cards!E$3:E$61)*H50,0),""),"")</f>
        <v>1</v>
      </c>
      <c r="S50" s="86">
        <f t="shared" si="1"/>
        <v>2</v>
      </c>
      <c r="T50" s="85">
        <f t="shared" si="2"/>
        <v>0</v>
      </c>
      <c r="U50" s="87">
        <f t="shared" si="3"/>
        <v>71.22</v>
      </c>
      <c r="V50" s="88">
        <f t="shared" si="4"/>
        <v>-13.66</v>
      </c>
      <c r="W50" s="89">
        <f t="shared" si="5"/>
        <v>-0.160933082</v>
      </c>
      <c r="X50" s="87">
        <f t="shared" si="6"/>
        <v>11.22</v>
      </c>
    </row>
    <row r="51" ht="15.0" customHeight="1">
      <c r="A51" s="49" t="s">
        <v>107</v>
      </c>
      <c r="B51" s="82" t="str">
        <f t="array" ref="B51">IFERROR(xlookup(A51,Cards!A$3:A$61,Cards!C$3:C$61),"")</f>
        <v>Ain</v>
      </c>
      <c r="C51" s="82" t="str">
        <f t="array" ref="C51">IFERROR(xlookup(A51,Cards!A$3:A$61,Cards!D$3:D$61),"")</f>
        <v>Best Selection Vol. 3</v>
      </c>
      <c r="D51" s="53">
        <f t="array" ref="D51">IFERROR(xlookup(A51,Cards!A49:A1048,Cards!K49:K1048),"")</f>
        <v>84.88</v>
      </c>
      <c r="E51" s="83">
        <f t="array" ref="E51">IFERROR(xlookup(A51,'CGC Pop Rates'!A$3:A$61,'CGC Pop Rates'!H$3:H$61),"")</f>
        <v>0.7882352941</v>
      </c>
      <c r="F51" s="83">
        <f t="array" ref="F51">IFERROR(xlookup(A51,'CGC Pop Rates'!A$3:A$61,'CGC Pop Rates'!I$3:I$61),"")</f>
        <v>0.1176470588</v>
      </c>
      <c r="G51" s="83">
        <f t="array" ref="G51">IFERROR(xlookup(A51,'CGC Pop Rates'!A$3:A$61,'CGC Pop Rates'!J$3:J$61),"")</f>
        <v>0.08235294118</v>
      </c>
      <c r="H51" s="83">
        <f t="array" ref="H51">IFERROR(xlookup(A51,'CGC Pop Rates'!A$3:A$61,'CGC Pop Rates'!K$3:K$61),"")</f>
        <v>0.01176470588</v>
      </c>
      <c r="I51" s="82" t="str">
        <f t="array" ref="I51">IFERROR(xlookup(A51,'CGC Pop Rates'!A$3:A$61,'CGC Pop Rates'!D$3:D$61),"")</f>
        <v>Yes</v>
      </c>
      <c r="J51" s="53">
        <v>800.0</v>
      </c>
      <c r="K51" s="84">
        <f t="array" ref="K51">IFERROR(xlookup(A51,'Market Prices'!A$3:A$61,'Market Prices'!F$3:F$61),"")</f>
        <v>25</v>
      </c>
      <c r="L51" s="53">
        <f t="array" ref="L51">IFERROR(xlookup(A51,'Market Prices'!A$3:A$61,'Market Prices'!E$3:E$61),"")</f>
        <v>12</v>
      </c>
      <c r="M51" s="53">
        <f t="array" ref="M51">IFERROR(xlookup(A51,'Market Prices'!A$3:A$61,'Market Prices'!D$3:D$61),"")</f>
        <v>3</v>
      </c>
      <c r="N51" s="53">
        <f t="array" ref="N51">IFERROR(xlookup(A51,'Market Prices'!A$3:A$61,'Market Prices'!C$3:C$61),"")</f>
        <v>8.22</v>
      </c>
      <c r="O51" s="85">
        <f t="array" ref="O51">IFERROR(IF(AND(A51&lt;&gt;"",E51&lt;&gt;""),ROUNDDOWN(xlookup(A51,Cards!A$3:A$61,Cards!E$3:E$61)*E51,0),""),"")</f>
        <v>3</v>
      </c>
      <c r="P51" s="85">
        <f t="array" ref="P51">IFERROR(IF(AND(A51&lt;&gt;"",F51&lt;&gt;""),ROUNDDOWN(xlookup(A51,Cards!A$3:A$61,Cards!E$3:E$61)*F51,0),""),"")</f>
        <v>0</v>
      </c>
      <c r="Q51" s="85">
        <f t="array" ref="Q51">IFERROR(IF(AND(A51&lt;&gt;"",G51&lt;&gt;""),ROUNDUP(xlookup(A51,Cards!A$3:A$61,Cards!E$3:E$61)*G51,0),""),"")</f>
        <v>1</v>
      </c>
      <c r="R51" s="85">
        <f t="array" ref="R51">IFERROR(IF(AND(A51&lt;&gt;"",H51&lt;&gt;""),ROUNDUP(xlookup(A51,Cards!A$3:A$61,Cards!E$3:E$61)*H51,0),""),"")</f>
        <v>1</v>
      </c>
      <c r="S51" s="86">
        <f t="shared" si="1"/>
        <v>2</v>
      </c>
      <c r="T51" s="85">
        <f t="shared" si="2"/>
        <v>1</v>
      </c>
      <c r="U51" s="87">
        <f t="shared" si="3"/>
        <v>86.22</v>
      </c>
      <c r="V51" s="88">
        <f t="shared" si="4"/>
        <v>1.34</v>
      </c>
      <c r="W51" s="89">
        <f t="shared" si="5"/>
        <v>0.0157869934</v>
      </c>
      <c r="X51" s="87">
        <f t="shared" si="6"/>
        <v>36.22</v>
      </c>
    </row>
    <row r="52" ht="15.0" customHeight="1">
      <c r="A52" s="54" t="s">
        <v>109</v>
      </c>
      <c r="B52" s="82" t="str">
        <f t="array" ref="B52">IFERROR(xlookup(A52,Cards!A$3:A$61,Cards!C$3:C$61),"")</f>
        <v>Monkey.D.Luffy</v>
      </c>
      <c r="C52" s="82" t="str">
        <f t="array" ref="C52">IFERROR(xlookup(A52,Cards!A$3:A$61,Cards!D$3:D$61),"")</f>
        <v>Best Selection Vol. 3</v>
      </c>
      <c r="D52" s="53">
        <f t="array" ref="D52">IFERROR(xlookup(A52,Cards!A50:A1049,Cards!K50:K1049),"")</f>
        <v>84.88</v>
      </c>
      <c r="E52" s="83">
        <f t="array" ref="E52">IFERROR(xlookup(A52,'CGC Pop Rates'!A$3:A$61,'CGC Pop Rates'!H$3:H$61),"")</f>
        <v>0.5818882466</v>
      </c>
      <c r="F52" s="83">
        <f t="array" ref="F52">IFERROR(xlookup(A52,'CGC Pop Rates'!A$3:A$61,'CGC Pop Rates'!I$3:I$61),"")</f>
        <v>0.2870905588</v>
      </c>
      <c r="G52" s="83">
        <f t="array" ref="G52">IFERROR(xlookup(A52,'CGC Pop Rates'!A$3:A$61,'CGC Pop Rates'!J$3:J$61),"")</f>
        <v>0.08670520231</v>
      </c>
      <c r="H52" s="83">
        <f t="array" ref="H52">IFERROR(xlookup(A52,'CGC Pop Rates'!A$3:A$61,'CGC Pop Rates'!K$3:K$61),"")</f>
        <v>0.04431599229</v>
      </c>
      <c r="I52" s="82" t="str">
        <f t="array" ref="I52">IFERROR(xlookup(A52,'CGC Pop Rates'!A$3:A$61,'CGC Pop Rates'!D$3:D$61),"")</f>
        <v>Yes</v>
      </c>
      <c r="J52" s="53">
        <v>800.0</v>
      </c>
      <c r="K52" s="84">
        <f t="array" ref="K52">IFERROR(xlookup(A52,'Market Prices'!A$3:A$61,'Market Prices'!F$3:F$61),"")</f>
        <v>71</v>
      </c>
      <c r="L52" s="53">
        <f t="array" ref="L52">IFERROR(xlookup(A52,'Market Prices'!A$3:A$61,'Market Prices'!E$3:E$61),"")</f>
        <v>40</v>
      </c>
      <c r="M52" s="53">
        <f t="array" ref="M52">IFERROR(xlookup(A52,'Market Prices'!A$3:A$61,'Market Prices'!D$3:D$61),"")</f>
        <v>36</v>
      </c>
      <c r="N52" s="53">
        <f t="array" ref="N52">IFERROR(xlookup(A52,'Market Prices'!A$3:A$61,'Market Prices'!C$3:C$61),"")</f>
        <v>8.22</v>
      </c>
      <c r="O52" s="85">
        <f t="array" ref="O52">IFERROR(IF(AND(A52&lt;&gt;"",E52&lt;&gt;""),ROUNDDOWN(xlookup(A52,Cards!A$3:A$61,Cards!E$3:E$61)*E52,0),""),"")</f>
        <v>2</v>
      </c>
      <c r="P52" s="85">
        <f t="array" ref="P52">IFERROR(IF(AND(A52&lt;&gt;"",F52&lt;&gt;""),ROUNDDOWN(xlookup(A52,Cards!A$3:A$61,Cards!E$3:E$61)*F52,0),""),"")</f>
        <v>1</v>
      </c>
      <c r="Q52" s="85">
        <f t="array" ref="Q52">IFERROR(IF(AND(A52&lt;&gt;"",G52&lt;&gt;""),ROUNDUP(xlookup(A52,Cards!A$3:A$61,Cards!E$3:E$61)*G52,0),""),"")</f>
        <v>1</v>
      </c>
      <c r="R52" s="85">
        <f t="array" ref="R52">IFERROR(IF(AND(A52&lt;&gt;"",H52&lt;&gt;""),ROUNDUP(xlookup(A52,Cards!A$3:A$61,Cards!E$3:E$61)*H52,0),""),"")</f>
        <v>1</v>
      </c>
      <c r="S52" s="86">
        <f t="shared" si="1"/>
        <v>2</v>
      </c>
      <c r="T52" s="85">
        <f t="shared" si="2"/>
        <v>0</v>
      </c>
      <c r="U52" s="87">
        <f t="shared" si="3"/>
        <v>226.22</v>
      </c>
      <c r="V52" s="88">
        <f t="shared" si="4"/>
        <v>141.34</v>
      </c>
      <c r="W52" s="89">
        <f t="shared" si="5"/>
        <v>1.665174364</v>
      </c>
      <c r="X52" s="87">
        <f t="shared" si="6"/>
        <v>84.22</v>
      </c>
    </row>
    <row r="53" ht="15.0" customHeight="1">
      <c r="A53" s="49" t="s">
        <v>110</v>
      </c>
      <c r="B53" s="82" t="str">
        <f t="array" ref="B53">IFERROR(xlookup(A53,Cards!A$3:A$61,Cards!C$3:C$61),"")</f>
        <v>Ulti</v>
      </c>
      <c r="C53" s="82" t="str">
        <f t="array" ref="C53">IFERROR(xlookup(A53,Cards!A$3:A$61,Cards!D$3:D$61),"")</f>
        <v>Best Selection Vol. 3</v>
      </c>
      <c r="D53" s="53">
        <f t="array" ref="D53">IFERROR(xlookup(A53,Cards!A51:A1050,Cards!K51:K1050),"")</f>
        <v>84.88</v>
      </c>
      <c r="E53" s="83">
        <f t="array" ref="E53">IFERROR(xlookup(A53,'CGC Pop Rates'!A$3:A$61,'CGC Pop Rates'!H$3:H$61),"")</f>
        <v>0.7532467532</v>
      </c>
      <c r="F53" s="83">
        <f t="array" ref="F53">IFERROR(xlookup(A53,'CGC Pop Rates'!A$3:A$61,'CGC Pop Rates'!I$3:I$61),"")</f>
        <v>0.2077922078</v>
      </c>
      <c r="G53" s="83">
        <f t="array" ref="G53">IFERROR(xlookup(A53,'CGC Pop Rates'!A$3:A$61,'CGC Pop Rates'!J$3:J$61),"")</f>
        <v>0.03896103896</v>
      </c>
      <c r="H53" s="83">
        <f t="array" ref="H53">IFERROR(xlookup(A53,'CGC Pop Rates'!A$3:A$61,'CGC Pop Rates'!K$3:K$61),"")</f>
        <v>0</v>
      </c>
      <c r="I53" s="82" t="str">
        <f t="array" ref="I53">IFERROR(xlookup(A53,'CGC Pop Rates'!A$3:A$61,'CGC Pop Rates'!D$3:D$61),"")</f>
        <v>Yes</v>
      </c>
      <c r="J53" s="53">
        <v>800.0</v>
      </c>
      <c r="K53" s="84">
        <f t="array" ref="K53">IFERROR(xlookup(A53,'Market Prices'!A$3:A$61,'Market Prices'!F$3:F$61),"")</f>
        <v>30</v>
      </c>
      <c r="L53" s="53">
        <f t="array" ref="L53">IFERROR(xlookup(A53,'Market Prices'!A$3:A$61,'Market Prices'!E$3:E$61),"")</f>
        <v>15</v>
      </c>
      <c r="M53" s="53">
        <f t="array" ref="M53">IFERROR(xlookup(A53,'Market Prices'!A$3:A$61,'Market Prices'!D$3:D$61),"")</f>
        <v>4</v>
      </c>
      <c r="N53" s="53">
        <f t="array" ref="N53">IFERROR(xlookup(A53,'Market Prices'!A$3:A$61,'Market Prices'!C$3:C$61),"")</f>
        <v>8.22</v>
      </c>
      <c r="O53" s="85">
        <f t="array" ref="O53">IFERROR(IF(AND(A53&lt;&gt;"",E53&lt;&gt;""),ROUNDDOWN(xlookup(A53,Cards!A$3:A$61,Cards!E$3:E$61)*E53,0),""),"")</f>
        <v>3</v>
      </c>
      <c r="P53" s="85">
        <f t="array" ref="P53">IFERROR(IF(AND(A53&lt;&gt;"",F53&lt;&gt;""),ROUNDDOWN(xlookup(A53,Cards!A$3:A$61,Cards!E$3:E$61)*F53,0),""),"")</f>
        <v>0</v>
      </c>
      <c r="Q53" s="85">
        <f t="array" ref="Q53">IFERROR(IF(AND(A53&lt;&gt;"",G53&lt;&gt;""),ROUNDUP(xlookup(A53,Cards!A$3:A$61,Cards!E$3:E$61)*G53,0),""),"")</f>
        <v>1</v>
      </c>
      <c r="R53" s="85">
        <f t="array" ref="R53">IFERROR(IF(AND(A53&lt;&gt;"",H53&lt;&gt;""),ROUNDUP(xlookup(A53,Cards!A$3:A$61,Cards!E$3:E$61)*H53,0),""),"")</f>
        <v>0</v>
      </c>
      <c r="S53" s="86">
        <f t="shared" si="1"/>
        <v>2</v>
      </c>
      <c r="T53" s="85">
        <f t="shared" si="2"/>
        <v>1</v>
      </c>
      <c r="U53" s="87">
        <f t="shared" si="3"/>
        <v>94</v>
      </c>
      <c r="V53" s="88">
        <f t="shared" si="4"/>
        <v>9.12</v>
      </c>
      <c r="W53" s="89">
        <f t="shared" si="5"/>
        <v>0.1074458058</v>
      </c>
      <c r="X53" s="87">
        <f t="shared" si="6"/>
        <v>34</v>
      </c>
    </row>
    <row r="54" ht="15.0" customHeight="1">
      <c r="A54" s="54" t="s">
        <v>112</v>
      </c>
      <c r="B54" s="82" t="str">
        <f t="array" ref="B54">IFERROR(xlookup(A54,Cards!A$3:A$61,Cards!C$3:C$61),"")</f>
        <v>Atmos</v>
      </c>
      <c r="C54" s="82" t="str">
        <f t="array" ref="C54">IFERROR(xlookup(A54,Cards!A$3:A$61,Cards!D$3:D$61),"")</f>
        <v>Best Selection Vol. 3</v>
      </c>
      <c r="D54" s="53">
        <f t="array" ref="D54">IFERROR(xlookup(A54,Cards!A52:A1051,Cards!K52:K1051),"")</f>
        <v>84.88</v>
      </c>
      <c r="E54" s="83">
        <f t="array" ref="E54">IFERROR(xlookup(A54,'CGC Pop Rates'!A$3:A$61,'CGC Pop Rates'!H$3:H$61),"")</f>
        <v>0.76</v>
      </c>
      <c r="F54" s="83">
        <f t="array" ref="F54">IFERROR(xlookup(A54,'CGC Pop Rates'!A$3:A$61,'CGC Pop Rates'!I$3:I$61),"")</f>
        <v>0.16</v>
      </c>
      <c r="G54" s="83">
        <f t="array" ref="G54">IFERROR(xlookup(A54,'CGC Pop Rates'!A$3:A$61,'CGC Pop Rates'!J$3:J$61),"")</f>
        <v>0.08</v>
      </c>
      <c r="H54" s="83">
        <f t="array" ref="H54">IFERROR(xlookup(A54,'CGC Pop Rates'!A$3:A$61,'CGC Pop Rates'!K$3:K$61),"")</f>
        <v>0</v>
      </c>
      <c r="I54" s="82" t="str">
        <f t="array" ref="I54">IFERROR(xlookup(A54,'CGC Pop Rates'!A$3:A$61,'CGC Pop Rates'!D$3:D$61),"")</f>
        <v>Yes</v>
      </c>
      <c r="J54" s="53">
        <v>800.0</v>
      </c>
      <c r="K54" s="84">
        <f t="array" ref="K54">IFERROR(xlookup(A54,'Market Prices'!A$3:A$61,'Market Prices'!F$3:F$61),"")</f>
        <v>20</v>
      </c>
      <c r="L54" s="53">
        <f t="array" ref="L54">IFERROR(xlookup(A54,'Market Prices'!A$3:A$61,'Market Prices'!E$3:E$61),"")</f>
        <v>10</v>
      </c>
      <c r="M54" s="53">
        <f t="array" ref="M54">IFERROR(xlookup(A54,'Market Prices'!A$3:A$61,'Market Prices'!D$3:D$61),"")</f>
        <v>5</v>
      </c>
      <c r="N54" s="53">
        <f t="array" ref="N54">IFERROR(xlookup(A54,'Market Prices'!A$3:A$61,'Market Prices'!C$3:C$61),"")</f>
        <v>8.22</v>
      </c>
      <c r="O54" s="85">
        <f t="array" ref="O54">IFERROR(IF(AND(A54&lt;&gt;"",E54&lt;&gt;""),ROUNDDOWN(xlookup(A54,Cards!A$3:A$61,Cards!E$3:E$61)*E54,0),""),"")</f>
        <v>3</v>
      </c>
      <c r="P54" s="85">
        <f t="array" ref="P54">IFERROR(IF(AND(A54&lt;&gt;"",F54&lt;&gt;""),ROUNDDOWN(xlookup(A54,Cards!A$3:A$61,Cards!E$3:E$61)*F54,0),""),"")</f>
        <v>0</v>
      </c>
      <c r="Q54" s="85">
        <f t="array" ref="Q54">IFERROR(IF(AND(A54&lt;&gt;"",G54&lt;&gt;""),ROUNDUP(xlookup(A54,Cards!A$3:A$61,Cards!E$3:E$61)*G54,0),""),"")</f>
        <v>1</v>
      </c>
      <c r="R54" s="85">
        <f t="array" ref="R54">IFERROR(IF(AND(A54&lt;&gt;"",H54&lt;&gt;""),ROUNDUP(xlookup(A54,Cards!A$3:A$61,Cards!E$3:E$61)*H54,0),""),"")</f>
        <v>0</v>
      </c>
      <c r="S54" s="86">
        <f t="shared" si="1"/>
        <v>2</v>
      </c>
      <c r="T54" s="85">
        <f t="shared" si="2"/>
        <v>1</v>
      </c>
      <c r="U54" s="87">
        <f t="shared" si="3"/>
        <v>65</v>
      </c>
      <c r="V54" s="88">
        <f t="shared" si="4"/>
        <v>-19.88</v>
      </c>
      <c r="W54" s="89">
        <f t="shared" si="5"/>
        <v>-0.2342130066</v>
      </c>
      <c r="X54" s="87">
        <f t="shared" si="6"/>
        <v>25</v>
      </c>
    </row>
    <row r="55" ht="15.0" customHeight="1">
      <c r="A55" s="49" t="s">
        <v>114</v>
      </c>
      <c r="B55" s="82" t="str">
        <f t="array" ref="B55">IFERROR(xlookup(A55,Cards!A$3:A$61,Cards!C$3:C$61),"")</f>
        <v>Emporio.Ivankov</v>
      </c>
      <c r="C55" s="82" t="str">
        <f t="array" ref="C55">IFERROR(xlookup(A55,Cards!A$3:A$61,Cards!D$3:D$61),"")</f>
        <v>Best Selection Vol. 3</v>
      </c>
      <c r="D55" s="53">
        <f t="array" ref="D55">IFERROR(xlookup(A55,Cards!A53:A1052,Cards!K53:K1052),"")</f>
        <v>84.88</v>
      </c>
      <c r="E55" s="83">
        <f t="array" ref="E55">IFERROR(xlookup(A55,'CGC Pop Rates'!A$3:A$61,'CGC Pop Rates'!H$3:H$61),"")</f>
        <v>0.5789473684</v>
      </c>
      <c r="F55" s="83">
        <f t="array" ref="F55">IFERROR(xlookup(A55,'CGC Pop Rates'!A$3:A$61,'CGC Pop Rates'!I$3:I$61),"")</f>
        <v>0.3333333333</v>
      </c>
      <c r="G55" s="83">
        <f t="array" ref="G55">IFERROR(xlookup(A55,'CGC Pop Rates'!A$3:A$61,'CGC Pop Rates'!J$3:J$61),"")</f>
        <v>0.0350877193</v>
      </c>
      <c r="H55" s="83">
        <f t="array" ref="H55">IFERROR(xlookup(A55,'CGC Pop Rates'!A$3:A$61,'CGC Pop Rates'!K$3:K$61),"")</f>
        <v>0.05263157895</v>
      </c>
      <c r="I55" s="82" t="str">
        <f t="array" ref="I55">IFERROR(xlookup(A55,'CGC Pop Rates'!A$3:A$61,'CGC Pop Rates'!D$3:D$61),"")</f>
        <v>Yes</v>
      </c>
      <c r="J55" s="53">
        <v>800.0</v>
      </c>
      <c r="K55" s="84">
        <f t="array" ref="K55">IFERROR(xlookup(A55,'Market Prices'!A$3:A$61,'Market Prices'!F$3:F$61),"")</f>
        <v>25</v>
      </c>
      <c r="L55" s="53">
        <f t="array" ref="L55">IFERROR(xlookup(A55,'Market Prices'!A$3:A$61,'Market Prices'!E$3:E$61),"")</f>
        <v>12</v>
      </c>
      <c r="M55" s="53">
        <f t="array" ref="M55">IFERROR(xlookup(A55,'Market Prices'!A$3:A$61,'Market Prices'!D$3:D$61),"")</f>
        <v>4</v>
      </c>
      <c r="N55" s="53">
        <f t="array" ref="N55">IFERROR(xlookup(A55,'Market Prices'!A$3:A$61,'Market Prices'!C$3:C$61),"")</f>
        <v>8.22</v>
      </c>
      <c r="O55" s="85">
        <f t="array" ref="O55">IFERROR(IF(AND(A55&lt;&gt;"",E55&lt;&gt;""),ROUNDDOWN(xlookup(A55,Cards!A$3:A$61,Cards!E$3:E$61)*E55,0),""),"")</f>
        <v>2</v>
      </c>
      <c r="P55" s="85">
        <f t="array" ref="P55">IFERROR(IF(AND(A55&lt;&gt;"",F55&lt;&gt;""),ROUNDDOWN(xlookup(A55,Cards!A$3:A$61,Cards!E$3:E$61)*F55,0),""),"")</f>
        <v>1</v>
      </c>
      <c r="Q55" s="85">
        <f t="array" ref="Q55">IFERROR(IF(AND(A55&lt;&gt;"",G55&lt;&gt;""),ROUNDUP(xlookup(A55,Cards!A$3:A$61,Cards!E$3:E$61)*G55,0),""),"")</f>
        <v>1</v>
      </c>
      <c r="R55" s="85">
        <f t="array" ref="R55">IFERROR(IF(AND(A55&lt;&gt;"",H55&lt;&gt;""),ROUNDUP(xlookup(A55,Cards!A$3:A$61,Cards!E$3:E$61)*H55,0),""),"")</f>
        <v>1</v>
      </c>
      <c r="S55" s="86">
        <f t="shared" si="1"/>
        <v>2</v>
      </c>
      <c r="T55" s="85">
        <f t="shared" si="2"/>
        <v>0</v>
      </c>
      <c r="U55" s="87">
        <f t="shared" si="3"/>
        <v>74.22</v>
      </c>
      <c r="V55" s="88">
        <f t="shared" si="4"/>
        <v>-10.66</v>
      </c>
      <c r="W55" s="89">
        <f t="shared" si="5"/>
        <v>-0.1255890669</v>
      </c>
      <c r="X55" s="87">
        <f t="shared" si="6"/>
        <v>24.22</v>
      </c>
    </row>
    <row r="56" ht="15.0" customHeight="1">
      <c r="A56" s="54" t="s">
        <v>116</v>
      </c>
      <c r="B56" s="82" t="str">
        <f t="array" ref="B56">IFERROR(xlookup(A56,Cards!A$3:A$61,Cards!C$3:C$61),"")</f>
        <v>Raise Max</v>
      </c>
      <c r="C56" s="82" t="str">
        <f t="array" ref="C56">IFERROR(xlookup(A56,Cards!A$3:A$61,Cards!D$3:D$61),"")</f>
        <v>Best Selection Vol. 3</v>
      </c>
      <c r="D56" s="53">
        <f t="array" ref="D56">IFERROR(xlookup(A56,Cards!A54:A1053,Cards!K54:K1053),"")</f>
        <v>84.88</v>
      </c>
      <c r="E56" s="83">
        <f t="array" ref="E56">IFERROR(xlookup(A56,'CGC Pop Rates'!A$3:A$61,'CGC Pop Rates'!H$3:H$61),"")</f>
        <v>0.6511627907</v>
      </c>
      <c r="F56" s="83">
        <f t="array" ref="F56">IFERROR(xlookup(A56,'CGC Pop Rates'!A$3:A$61,'CGC Pop Rates'!I$3:I$61),"")</f>
        <v>0.1860465116</v>
      </c>
      <c r="G56" s="83">
        <f t="array" ref="G56">IFERROR(xlookup(A56,'CGC Pop Rates'!A$3:A$61,'CGC Pop Rates'!J$3:J$61),"")</f>
        <v>0.1162790698</v>
      </c>
      <c r="H56" s="83">
        <f t="array" ref="H56">IFERROR(xlookup(A56,'CGC Pop Rates'!A$3:A$61,'CGC Pop Rates'!K$3:K$61),"")</f>
        <v>0.04651162791</v>
      </c>
      <c r="I56" s="82" t="str">
        <f t="array" ref="I56">IFERROR(xlookup(A56,'CGC Pop Rates'!A$3:A$61,'CGC Pop Rates'!D$3:D$61),"")</f>
        <v>Low Pop - Caution</v>
      </c>
      <c r="J56" s="53">
        <v>800.0</v>
      </c>
      <c r="K56" s="84">
        <f t="array" ref="K56">IFERROR(xlookup(A56,'Market Prices'!A$3:A$61,'Market Prices'!F$3:F$61),"")</f>
        <v>20</v>
      </c>
      <c r="L56" s="53">
        <f t="array" ref="L56">IFERROR(xlookup(A56,'Market Prices'!A$3:A$61,'Market Prices'!E$3:E$61),"")</f>
        <v>10</v>
      </c>
      <c r="M56" s="53">
        <f t="array" ref="M56">IFERROR(xlookup(A56,'Market Prices'!A$3:A$61,'Market Prices'!D$3:D$61),"")</f>
        <v>2</v>
      </c>
      <c r="N56" s="53">
        <f t="array" ref="N56">IFERROR(xlookup(A56,'Market Prices'!A$3:A$61,'Market Prices'!C$3:C$61),"")</f>
        <v>8.22</v>
      </c>
      <c r="O56" s="85">
        <f t="array" ref="O56">IFERROR(IF(AND(A56&lt;&gt;"",E56&lt;&gt;""),ROUNDDOWN(xlookup(A56,Cards!A$3:A$61,Cards!E$3:E$61)*E56,0),""),"")</f>
        <v>2</v>
      </c>
      <c r="P56" s="85">
        <f t="array" ref="P56">IFERROR(IF(AND(A56&lt;&gt;"",F56&lt;&gt;""),ROUNDDOWN(xlookup(A56,Cards!A$3:A$61,Cards!E$3:E$61)*F56,0),""),"")</f>
        <v>0</v>
      </c>
      <c r="Q56" s="85">
        <f t="array" ref="Q56">IFERROR(IF(AND(A56&lt;&gt;"",G56&lt;&gt;""),ROUNDUP(xlookup(A56,Cards!A$3:A$61,Cards!E$3:E$61)*G56,0),""),"")</f>
        <v>1</v>
      </c>
      <c r="R56" s="85">
        <f t="array" ref="R56">IFERROR(IF(AND(A56&lt;&gt;"",H56&lt;&gt;""),ROUNDUP(xlookup(A56,Cards!A$3:A$61,Cards!E$3:E$61)*H56,0),""),"")</f>
        <v>1</v>
      </c>
      <c r="S56" s="86">
        <f t="shared" si="1"/>
        <v>2</v>
      </c>
      <c r="T56" s="85">
        <f t="shared" si="2"/>
        <v>0</v>
      </c>
      <c r="U56" s="87">
        <f t="shared" si="3"/>
        <v>50.22</v>
      </c>
      <c r="V56" s="88">
        <f t="shared" si="4"/>
        <v>-34.66</v>
      </c>
      <c r="W56" s="89">
        <f t="shared" si="5"/>
        <v>-0.4083411876</v>
      </c>
      <c r="X56" s="87">
        <f t="shared" si="6"/>
        <v>10.22</v>
      </c>
    </row>
    <row r="57" ht="15.0" customHeight="1">
      <c r="A57" s="49" t="s">
        <v>119</v>
      </c>
      <c r="B57" s="82" t="str">
        <f t="array" ref="B57">IFERROR(xlookup(A57,Cards!A$3:A$61,Cards!C$3:C$61),"")</f>
        <v>Portgas.D.Ace</v>
      </c>
      <c r="C57" s="82" t="str">
        <f t="array" ref="C57">IFERROR(xlookup(A57,Cards!A$3:A$61,Cards!D$3:D$61),"")</f>
        <v>Best Selection Vol. 3</v>
      </c>
      <c r="D57" s="53">
        <f t="array" ref="D57">IFERROR(xlookup(A57,Cards!A55:A1054,Cards!K55:K1054),"")</f>
        <v>84.88</v>
      </c>
      <c r="E57" s="83">
        <f t="array" ref="E57">IFERROR(xlookup(A57,'CGC Pop Rates'!A$3:A$61,'CGC Pop Rates'!H$3:H$61),"")</f>
        <v>0.6329113924</v>
      </c>
      <c r="F57" s="83">
        <f t="array" ref="F57">IFERROR(xlookup(A57,'CGC Pop Rates'!A$3:A$61,'CGC Pop Rates'!I$3:I$61),"")</f>
        <v>0.2278481013</v>
      </c>
      <c r="G57" s="83">
        <f t="array" ref="G57">IFERROR(xlookup(A57,'CGC Pop Rates'!A$3:A$61,'CGC Pop Rates'!J$3:J$61),"")</f>
        <v>0.1075949367</v>
      </c>
      <c r="H57" s="83">
        <f t="array" ref="H57">IFERROR(xlookup(A57,'CGC Pop Rates'!A$3:A$61,'CGC Pop Rates'!K$3:K$61),"")</f>
        <v>0.03164556962</v>
      </c>
      <c r="I57" s="82" t="str">
        <f t="array" ref="I57">IFERROR(xlookup(A57,'CGC Pop Rates'!A$3:A$61,'CGC Pop Rates'!D$3:D$61),"")</f>
        <v>Yes</v>
      </c>
      <c r="J57" s="53">
        <v>800.0</v>
      </c>
      <c r="K57" s="84">
        <f t="array" ref="K57">IFERROR(xlookup(A57,'Market Prices'!A$3:A$61,'Market Prices'!F$3:F$61),"")</f>
        <v>25</v>
      </c>
      <c r="L57" s="53">
        <f t="array" ref="L57">IFERROR(xlookup(A57,'Market Prices'!A$3:A$61,'Market Prices'!E$3:E$61),"")</f>
        <v>12</v>
      </c>
      <c r="M57" s="53">
        <f t="array" ref="M57">IFERROR(xlookup(A57,'Market Prices'!A$3:A$61,'Market Prices'!D$3:D$61),"")</f>
        <v>6</v>
      </c>
      <c r="N57" s="53">
        <f t="array" ref="N57">IFERROR(xlookup(A57,'Market Prices'!A$3:A$61,'Market Prices'!C$3:C$61),"")</f>
        <v>8.22</v>
      </c>
      <c r="O57" s="85">
        <f t="array" ref="O57">IFERROR(IF(AND(A57&lt;&gt;"",E57&lt;&gt;""),ROUNDDOWN(xlookup(A57,Cards!A$3:A$61,Cards!E$3:E$61)*E57,0),""),"")</f>
        <v>2</v>
      </c>
      <c r="P57" s="85">
        <f t="array" ref="P57">IFERROR(IF(AND(A57&lt;&gt;"",F57&lt;&gt;""),ROUNDDOWN(xlookup(A57,Cards!A$3:A$61,Cards!E$3:E$61)*F57,0),""),"")</f>
        <v>0</v>
      </c>
      <c r="Q57" s="85">
        <f t="array" ref="Q57">IFERROR(IF(AND(A57&lt;&gt;"",G57&lt;&gt;""),ROUNDUP(xlookup(A57,Cards!A$3:A$61,Cards!E$3:E$61)*G57,0),""),"")</f>
        <v>1</v>
      </c>
      <c r="R57" s="85">
        <f t="array" ref="R57">IFERROR(IF(AND(A57&lt;&gt;"",H57&lt;&gt;""),ROUNDUP(xlookup(A57,Cards!A$3:A$61,Cards!E$3:E$61)*H57,0),""),"")</f>
        <v>1</v>
      </c>
      <c r="S57" s="86">
        <f t="shared" si="1"/>
        <v>2</v>
      </c>
      <c r="T57" s="85">
        <f t="shared" si="2"/>
        <v>0</v>
      </c>
      <c r="U57" s="87">
        <f t="shared" si="3"/>
        <v>64.22</v>
      </c>
      <c r="V57" s="88">
        <f t="shared" si="4"/>
        <v>-20.66</v>
      </c>
      <c r="W57" s="89">
        <f t="shared" si="5"/>
        <v>-0.2434024505</v>
      </c>
      <c r="X57" s="87">
        <f t="shared" si="6"/>
        <v>14.22</v>
      </c>
    </row>
    <row r="58" ht="15.0" customHeight="1">
      <c r="A58" s="54" t="s">
        <v>121</v>
      </c>
      <c r="B58" s="82" t="str">
        <f t="array" ref="B58">IFERROR(xlookup(A58,Cards!A$3:A$61,Cards!C$3:C$61),"")</f>
        <v>Dr.Hogbackd</v>
      </c>
      <c r="C58" s="82" t="str">
        <f t="array" ref="C58">IFERROR(xlookup(A58,Cards!A$3:A$61,Cards!D$3:D$61),"")</f>
        <v>Best Selection Vol. 3</v>
      </c>
      <c r="D58" s="53">
        <f t="array" ref="D58">IFERROR(xlookup(A58,Cards!A56:A1055,Cards!K56:K1055),"")</f>
        <v>84.88</v>
      </c>
      <c r="E58" s="83">
        <f t="array" ref="E58">IFERROR(xlookup(A58,'CGC Pop Rates'!A$3:A$61,'CGC Pop Rates'!H$3:H$61),"")</f>
        <v>0.6666666667</v>
      </c>
      <c r="F58" s="83">
        <f t="array" ref="F58">IFERROR(xlookup(A58,'CGC Pop Rates'!A$3:A$61,'CGC Pop Rates'!I$3:I$61),"")</f>
        <v>0.2</v>
      </c>
      <c r="G58" s="83">
        <f t="array" ref="G58">IFERROR(xlookup(A58,'CGC Pop Rates'!A$3:A$61,'CGC Pop Rates'!J$3:J$61),"")</f>
        <v>0.1333333333</v>
      </c>
      <c r="H58" s="83">
        <f t="array" ref="H58">IFERROR(xlookup(A58,'CGC Pop Rates'!A$3:A$61,'CGC Pop Rates'!K$3:K$61),"")</f>
        <v>0</v>
      </c>
      <c r="I58" s="82" t="str">
        <f t="array" ref="I58">IFERROR(xlookup(A58,'CGC Pop Rates'!A$3:A$61,'CGC Pop Rates'!D$3:D$61),"")</f>
        <v>Low Pop - Caution</v>
      </c>
      <c r="J58" s="53">
        <v>800.0</v>
      </c>
      <c r="K58" s="84">
        <f t="array" ref="K58">IFERROR(xlookup(A58,'Market Prices'!A$3:A$61,'Market Prices'!F$3:F$61),"")</f>
        <v>15</v>
      </c>
      <c r="L58" s="53">
        <f t="array" ref="L58">IFERROR(xlookup(A58,'Market Prices'!A$3:A$61,'Market Prices'!E$3:E$61),"")</f>
        <v>10</v>
      </c>
      <c r="M58" s="53">
        <f t="array" ref="M58">IFERROR(xlookup(A58,'Market Prices'!A$3:A$61,'Market Prices'!D$3:D$61),"")</f>
        <v>7</v>
      </c>
      <c r="N58" s="53">
        <f t="array" ref="N58">IFERROR(xlookup(A58,'Market Prices'!A$3:A$61,'Market Prices'!C$3:C$61),"")</f>
        <v>8.22</v>
      </c>
      <c r="O58" s="85">
        <f t="array" ref="O58">IFERROR(IF(AND(A58&lt;&gt;"",E58&lt;&gt;""),ROUNDDOWN(xlookup(A58,Cards!A$3:A$61,Cards!E$3:E$61)*E58,0),""),"")</f>
        <v>2</v>
      </c>
      <c r="P58" s="85">
        <f t="array" ref="P58">IFERROR(IF(AND(A58&lt;&gt;"",F58&lt;&gt;""),ROUNDDOWN(xlookup(A58,Cards!A$3:A$61,Cards!E$3:E$61)*F58,0),""),"")</f>
        <v>0</v>
      </c>
      <c r="Q58" s="85">
        <f t="array" ref="Q58">IFERROR(IF(AND(A58&lt;&gt;"",G58&lt;&gt;""),ROUNDUP(xlookup(A58,Cards!A$3:A$61,Cards!E$3:E$61)*G58,0),""),"")</f>
        <v>1</v>
      </c>
      <c r="R58" s="85">
        <f t="array" ref="R58">IFERROR(IF(AND(A58&lt;&gt;"",H58&lt;&gt;""),ROUNDUP(xlookup(A58,Cards!A$3:A$61,Cards!E$3:E$61)*H58,0),""),"")</f>
        <v>1</v>
      </c>
      <c r="S58" s="86">
        <f t="shared" si="1"/>
        <v>2</v>
      </c>
      <c r="T58" s="85">
        <f t="shared" si="2"/>
        <v>0</v>
      </c>
      <c r="U58" s="87">
        <f t="shared" si="3"/>
        <v>45.22</v>
      </c>
      <c r="V58" s="88">
        <f t="shared" si="4"/>
        <v>-39.66</v>
      </c>
      <c r="W58" s="89">
        <f t="shared" si="5"/>
        <v>-0.4672478794</v>
      </c>
      <c r="X58" s="87">
        <f t="shared" si="6"/>
        <v>15.22</v>
      </c>
    </row>
    <row r="59" ht="15.0" customHeight="1">
      <c r="A59" s="49" t="s">
        <v>123</v>
      </c>
      <c r="B59" s="82" t="str">
        <f t="array" ref="B59">IFERROR(xlookup(A59,Cards!A$3:A$61,Cards!C$3:C$61),"")</f>
        <v>Makino</v>
      </c>
      <c r="C59" s="82" t="str">
        <f t="array" ref="C59">IFERROR(xlookup(A59,Cards!A$3:A$61,Cards!D$3:D$61),"")</f>
        <v>Best Selection Vol. 3</v>
      </c>
      <c r="D59" s="53">
        <f t="array" ref="D59">IFERROR(xlookup(A59,Cards!A57:A1056,Cards!K57:K1056),"")</f>
        <v>84.88</v>
      </c>
      <c r="E59" s="83">
        <f t="array" ref="E59">IFERROR(xlookup(A59,'CGC Pop Rates'!A$3:A$61,'CGC Pop Rates'!H$3:H$61),"")</f>
        <v>0.7432432432</v>
      </c>
      <c r="F59" s="83">
        <f t="array" ref="F59">IFERROR(xlookup(A59,'CGC Pop Rates'!A$3:A$61,'CGC Pop Rates'!I$3:I$61),"")</f>
        <v>0.1081081081</v>
      </c>
      <c r="G59" s="83">
        <f t="array" ref="G59">IFERROR(xlookup(A59,'CGC Pop Rates'!A$3:A$61,'CGC Pop Rates'!J$3:J$61),"")</f>
        <v>0.1351351351</v>
      </c>
      <c r="H59" s="83">
        <f t="array" ref="H59">IFERROR(xlookup(A59,'CGC Pop Rates'!A$3:A$61,'CGC Pop Rates'!K$3:K$61),"")</f>
        <v>0.01351351351</v>
      </c>
      <c r="I59" s="82" t="str">
        <f t="array" ref="I59">IFERROR(xlookup(A59,'CGC Pop Rates'!A$3:A$61,'CGC Pop Rates'!D$3:D$61),"")</f>
        <v>Yes</v>
      </c>
      <c r="J59" s="53">
        <v>800.0</v>
      </c>
      <c r="K59" s="84">
        <f t="array" ref="K59">IFERROR(xlookup(A59,'Market Prices'!A$3:A$61,'Market Prices'!F$3:F$61),"")</f>
        <v>16</v>
      </c>
      <c r="L59" s="53">
        <f t="array" ref="L59">IFERROR(xlookup(A59,'Market Prices'!A$3:A$61,'Market Prices'!E$3:E$61),"")</f>
        <v>10</v>
      </c>
      <c r="M59" s="53">
        <f t="array" ref="M59">IFERROR(xlookup(A59,'Market Prices'!A$3:A$61,'Market Prices'!D$3:D$61),"")</f>
        <v>4</v>
      </c>
      <c r="N59" s="53">
        <f t="array" ref="N59">IFERROR(xlookup(A59,'Market Prices'!A$3:A$61,'Market Prices'!C$3:C$61),"")</f>
        <v>8.22</v>
      </c>
      <c r="O59" s="85">
        <f t="array" ref="O59">IFERROR(IF(AND(A59&lt;&gt;"",E59&lt;&gt;""),ROUNDDOWN(xlookup(A59,Cards!A$3:A$61,Cards!E$3:E$61)*E59,0),""),"")</f>
        <v>2</v>
      </c>
      <c r="P59" s="85">
        <f t="array" ref="P59">IFERROR(IF(AND(A59&lt;&gt;"",F59&lt;&gt;""),ROUNDDOWN(xlookup(A59,Cards!A$3:A$61,Cards!E$3:E$61)*F59,0),""),"")</f>
        <v>0</v>
      </c>
      <c r="Q59" s="85">
        <f t="array" ref="Q59">IFERROR(IF(AND(A59&lt;&gt;"",G59&lt;&gt;""),ROUNDUP(xlookup(A59,Cards!A$3:A$61,Cards!E$3:E$61)*G59,0),""),"")</f>
        <v>1</v>
      </c>
      <c r="R59" s="85">
        <f t="array" ref="R59">IFERROR(IF(AND(A59&lt;&gt;"",H59&lt;&gt;""),ROUNDUP(xlookup(A59,Cards!A$3:A$61,Cards!E$3:E$61)*H59,0),""),"")</f>
        <v>1</v>
      </c>
      <c r="S59" s="86">
        <f t="shared" si="1"/>
        <v>2</v>
      </c>
      <c r="T59" s="85">
        <f t="shared" si="2"/>
        <v>0</v>
      </c>
      <c r="U59" s="87">
        <f t="shared" si="3"/>
        <v>44.22</v>
      </c>
      <c r="V59" s="88">
        <f t="shared" si="4"/>
        <v>-40.66</v>
      </c>
      <c r="W59" s="89">
        <f t="shared" si="5"/>
        <v>-0.4790292177</v>
      </c>
      <c r="X59" s="87">
        <f t="shared" si="6"/>
        <v>12.22</v>
      </c>
    </row>
    <row r="60" ht="15.0" customHeight="1">
      <c r="A60" s="54" t="s">
        <v>125</v>
      </c>
      <c r="B60" s="82" t="str">
        <f t="array" ref="B60">IFERROR(xlookup(A60,Cards!A$3:A$61,Cards!C$3:C$61),"")</f>
        <v>Baby 5</v>
      </c>
      <c r="C60" s="82" t="str">
        <f t="array" ref="C60">IFERROR(xlookup(A60,Cards!A$3:A$61,Cards!D$3:D$61),"")</f>
        <v>Best Selection Vol. 3</v>
      </c>
      <c r="D60" s="53">
        <f t="array" ref="D60">IFERROR(xlookup(A60,Cards!A58:A1057,Cards!K58:K1057),"")</f>
        <v>84.88</v>
      </c>
      <c r="E60" s="83">
        <f t="array" ref="E60">IFERROR(xlookup(A60,'CGC Pop Rates'!A$3:A$61,'CGC Pop Rates'!H$3:H$61),"")</f>
        <v>0.7719298246</v>
      </c>
      <c r="F60" s="83">
        <f t="array" ref="F60">IFERROR(xlookup(A60,'CGC Pop Rates'!A$3:A$61,'CGC Pop Rates'!I$3:I$61),"")</f>
        <v>0.1754385965</v>
      </c>
      <c r="G60" s="83">
        <f t="array" ref="G60">IFERROR(xlookup(A60,'CGC Pop Rates'!A$3:A$61,'CGC Pop Rates'!J$3:J$61),"")</f>
        <v>0.01754385965</v>
      </c>
      <c r="H60" s="83">
        <f t="array" ref="H60">IFERROR(xlookup(A60,'CGC Pop Rates'!A$3:A$61,'CGC Pop Rates'!K$3:K$61),"")</f>
        <v>0.0350877193</v>
      </c>
      <c r="I60" s="82" t="str">
        <f t="array" ref="I60">IFERROR(xlookup(A60,'CGC Pop Rates'!A$3:A$61,'CGC Pop Rates'!D$3:D$61),"")</f>
        <v>Yes</v>
      </c>
      <c r="J60" s="53">
        <v>800.0</v>
      </c>
      <c r="K60" s="84">
        <f t="array" ref="K60">IFERROR(xlookup(A60,'Market Prices'!A$3:A$61,'Market Prices'!F$3:F$61),"")</f>
        <v>20</v>
      </c>
      <c r="L60" s="53">
        <f t="array" ref="L60">IFERROR(xlookup(A60,'Market Prices'!A$3:A$61,'Market Prices'!E$3:E$61),"")</f>
        <v>10</v>
      </c>
      <c r="M60" s="53">
        <f t="array" ref="M60">IFERROR(xlookup(A60,'Market Prices'!A$3:A$61,'Market Prices'!D$3:D$61),"")</f>
        <v>4</v>
      </c>
      <c r="N60" s="53">
        <f t="array" ref="N60">IFERROR(xlookup(A60,'Market Prices'!A$3:A$61,'Market Prices'!C$3:C$61),"")</f>
        <v>8.22</v>
      </c>
      <c r="O60" s="85">
        <f t="array" ref="O60">IFERROR(IF(AND(A60&lt;&gt;"",E60&lt;&gt;""),ROUNDDOWN(xlookup(A60,Cards!A$3:A$61,Cards!E$3:E$61)*E60,0),""),"")</f>
        <v>3</v>
      </c>
      <c r="P60" s="85">
        <f t="array" ref="P60">IFERROR(IF(AND(A60&lt;&gt;"",F60&lt;&gt;""),ROUNDDOWN(xlookup(A60,Cards!A$3:A$61,Cards!E$3:E$61)*F60,0),""),"")</f>
        <v>0</v>
      </c>
      <c r="Q60" s="85">
        <f t="array" ref="Q60">IFERROR(IF(AND(A60&lt;&gt;"",G60&lt;&gt;""),ROUNDUP(xlookup(A60,Cards!A$3:A$61,Cards!E$3:E$61)*G60,0),""),"")</f>
        <v>1</v>
      </c>
      <c r="R60" s="85">
        <f t="array" ref="R60">IFERROR(IF(AND(A60&lt;&gt;"",H60&lt;&gt;""),ROUNDUP(xlookup(A60,Cards!A$3:A$61,Cards!E$3:E$61)*H60,0),""),"")</f>
        <v>1</v>
      </c>
      <c r="S60" s="86">
        <f t="shared" si="1"/>
        <v>2</v>
      </c>
      <c r="T60" s="85">
        <f t="shared" si="2"/>
        <v>1</v>
      </c>
      <c r="U60" s="87">
        <f t="shared" si="3"/>
        <v>72.22</v>
      </c>
      <c r="V60" s="88">
        <f t="shared" si="4"/>
        <v>-12.66</v>
      </c>
      <c r="W60" s="89">
        <f t="shared" si="5"/>
        <v>-0.1491517436</v>
      </c>
      <c r="X60" s="87">
        <f t="shared" si="6"/>
        <v>32.22</v>
      </c>
    </row>
    <row r="61" ht="15.0" customHeight="1">
      <c r="A61" s="49" t="s">
        <v>127</v>
      </c>
      <c r="B61" s="82" t="str">
        <f t="array" ref="B61">IFERROR(xlookup(A61,Cards!A$3:A$61,Cards!C$3:C$61),"")</f>
        <v>Ryuma</v>
      </c>
      <c r="C61" s="82" t="str">
        <f t="array" ref="C61">IFERROR(xlookup(A61,Cards!A$3:A$61,Cards!D$3:D$61),"")</f>
        <v>Best Selection Vol. 3</v>
      </c>
      <c r="D61" s="53">
        <f t="array" ref="D61">IFERROR(xlookup(A61,Cards!A59:A1058,Cards!K59:K1058),"")</f>
        <v>84.88</v>
      </c>
      <c r="E61" s="83">
        <f t="array" ref="E61">IFERROR(xlookup(A61,'CGC Pop Rates'!A$3:A$61,'CGC Pop Rates'!H$3:H$61),"")</f>
        <v>0.6265432099</v>
      </c>
      <c r="F61" s="83">
        <f t="array" ref="F61">IFERROR(xlookup(A61,'CGC Pop Rates'!A$3:A$61,'CGC Pop Rates'!I$3:I$61),"")</f>
        <v>0.2962962963</v>
      </c>
      <c r="G61" s="83">
        <f t="array" ref="G61">IFERROR(xlookup(A61,'CGC Pop Rates'!A$3:A$61,'CGC Pop Rates'!J$3:J$61),"")</f>
        <v>0.05864197531</v>
      </c>
      <c r="H61" s="83">
        <f t="array" ref="H61">IFERROR(xlookup(A61,'CGC Pop Rates'!A$3:A$61,'CGC Pop Rates'!K$3:K$61),"")</f>
        <v>0.01851851852</v>
      </c>
      <c r="I61" s="82" t="str">
        <f t="array" ref="I61">IFERROR(xlookup(A61,'CGC Pop Rates'!A$3:A$61,'CGC Pop Rates'!D$3:D$61),"")</f>
        <v>Yes</v>
      </c>
      <c r="J61" s="53">
        <v>800.0</v>
      </c>
      <c r="K61" s="84">
        <f t="array" ref="K61">IFERROR(xlookup(A61,'Market Prices'!A$3:A$61,'Market Prices'!F$3:F$61),"")</f>
        <v>230</v>
      </c>
      <c r="L61" s="53">
        <f t="array" ref="L61">IFERROR(xlookup(A61,'Market Prices'!A$3:A$61,'Market Prices'!E$3:E$61),"")</f>
        <v>10</v>
      </c>
      <c r="M61" s="53">
        <f t="array" ref="M61">IFERROR(xlookup(A61,'Market Prices'!A$3:A$61,'Market Prices'!D$3:D$61),"")</f>
        <v>100</v>
      </c>
      <c r="N61" s="53">
        <f t="array" ref="N61">IFERROR(xlookup(A61,'Market Prices'!A$3:A$61,'Market Prices'!C$3:C$61),"")</f>
        <v>8.22</v>
      </c>
      <c r="O61" s="85">
        <f t="array" ref="O61">IFERROR(IF(AND(A61&lt;&gt;"",E61&lt;&gt;""),ROUNDDOWN(xlookup(A61,Cards!A$3:A$61,Cards!E$3:E$61)*E61,0),""),"")</f>
        <v>2</v>
      </c>
      <c r="P61" s="85">
        <f t="array" ref="P61">IFERROR(IF(AND(A61&lt;&gt;"",F61&lt;&gt;""),ROUNDDOWN(xlookup(A61,Cards!A$3:A$61,Cards!E$3:E$61)*F61,0),""),"")</f>
        <v>1</v>
      </c>
      <c r="Q61" s="85">
        <f t="array" ref="Q61">IFERROR(IF(AND(A61&lt;&gt;"",G61&lt;&gt;""),ROUNDUP(xlookup(A61,Cards!A$3:A$61,Cards!E$3:E$61)*G61,0),""),"")</f>
        <v>1</v>
      </c>
      <c r="R61" s="85">
        <f t="array" ref="R61">IFERROR(IF(AND(A61&lt;&gt;"",H61&lt;&gt;""),ROUNDUP(xlookup(A61,Cards!A$3:A$61,Cards!E$3:E$61)*H61,0),""),"")</f>
        <v>1</v>
      </c>
      <c r="S61" s="86">
        <f t="shared" si="1"/>
        <v>2</v>
      </c>
      <c r="T61" s="85">
        <f t="shared" si="2"/>
        <v>0</v>
      </c>
      <c r="U61" s="87">
        <f t="shared" si="3"/>
        <v>578.22</v>
      </c>
      <c r="V61" s="88">
        <f t="shared" si="4"/>
        <v>493.34</v>
      </c>
      <c r="W61" s="89">
        <f t="shared" si="5"/>
        <v>5.812205467</v>
      </c>
      <c r="X61" s="87">
        <f t="shared" si="6"/>
        <v>118.22</v>
      </c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77"/>
      <c r="P62" s="77"/>
      <c r="Q62" s="77"/>
      <c r="R62" s="77"/>
      <c r="S62" s="77"/>
      <c r="T62" s="17"/>
      <c r="U62" s="17"/>
      <c r="V62" s="17"/>
      <c r="W62" s="17"/>
      <c r="X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77"/>
      <c r="P63" s="77"/>
      <c r="Q63" s="77"/>
      <c r="R63" s="77"/>
      <c r="S63" s="77"/>
      <c r="T63" s="17"/>
      <c r="U63" s="17"/>
      <c r="V63" s="17"/>
      <c r="W63" s="17"/>
      <c r="X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77"/>
      <c r="P64" s="77"/>
      <c r="Q64" s="77"/>
      <c r="R64" s="77"/>
      <c r="S64" s="77"/>
      <c r="T64" s="17"/>
      <c r="U64" s="17"/>
      <c r="V64" s="17"/>
      <c r="W64" s="17"/>
      <c r="X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77"/>
      <c r="P65" s="77"/>
      <c r="Q65" s="77"/>
      <c r="R65" s="77"/>
      <c r="S65" s="77"/>
      <c r="T65" s="17"/>
      <c r="U65" s="17"/>
      <c r="V65" s="17"/>
      <c r="W65" s="17"/>
      <c r="X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77"/>
      <c r="P66" s="77"/>
      <c r="Q66" s="77"/>
      <c r="R66" s="77"/>
      <c r="S66" s="77"/>
      <c r="T66" s="17"/>
      <c r="U66" s="17"/>
      <c r="V66" s="17"/>
      <c r="W66" s="17"/>
      <c r="X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77"/>
      <c r="P67" s="77"/>
      <c r="Q67" s="77"/>
      <c r="R67" s="77"/>
      <c r="S67" s="77"/>
      <c r="T67" s="17"/>
      <c r="U67" s="17"/>
      <c r="V67" s="17"/>
      <c r="W67" s="17"/>
      <c r="X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77"/>
      <c r="P68" s="77"/>
      <c r="Q68" s="77"/>
      <c r="R68" s="77"/>
      <c r="S68" s="77"/>
      <c r="T68" s="17"/>
      <c r="U68" s="17"/>
      <c r="V68" s="17"/>
      <c r="W68" s="17"/>
      <c r="X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77"/>
      <c r="P69" s="77"/>
      <c r="Q69" s="77"/>
      <c r="R69" s="77"/>
      <c r="S69" s="77"/>
      <c r="T69" s="17"/>
      <c r="U69" s="17"/>
      <c r="V69" s="17"/>
      <c r="W69" s="17"/>
      <c r="X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77"/>
      <c r="P70" s="77"/>
      <c r="Q70" s="77"/>
      <c r="R70" s="77"/>
      <c r="S70" s="77"/>
      <c r="T70" s="17"/>
      <c r="U70" s="17"/>
      <c r="V70" s="17"/>
      <c r="W70" s="17"/>
      <c r="X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77"/>
      <c r="P71" s="77"/>
      <c r="Q71" s="77"/>
      <c r="R71" s="77"/>
      <c r="S71" s="77"/>
      <c r="T71" s="17"/>
      <c r="U71" s="17"/>
      <c r="V71" s="17"/>
      <c r="W71" s="17"/>
      <c r="X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77"/>
      <c r="P72" s="77"/>
      <c r="Q72" s="77"/>
      <c r="R72" s="77"/>
      <c r="S72" s="77"/>
      <c r="T72" s="17"/>
      <c r="U72" s="17"/>
      <c r="V72" s="17"/>
      <c r="W72" s="17"/>
      <c r="X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77"/>
      <c r="P73" s="77"/>
      <c r="Q73" s="77"/>
      <c r="R73" s="77"/>
      <c r="S73" s="77"/>
      <c r="T73" s="17"/>
      <c r="U73" s="17"/>
      <c r="V73" s="17"/>
      <c r="W73" s="17"/>
      <c r="X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77"/>
      <c r="P74" s="77"/>
      <c r="Q74" s="77"/>
      <c r="R74" s="77"/>
      <c r="S74" s="77"/>
      <c r="T74" s="17"/>
      <c r="U74" s="17"/>
      <c r="V74" s="17"/>
      <c r="W74" s="17"/>
      <c r="X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77"/>
      <c r="P75" s="77"/>
      <c r="Q75" s="77"/>
      <c r="R75" s="77"/>
      <c r="S75" s="77"/>
      <c r="T75" s="17"/>
      <c r="U75" s="17"/>
      <c r="V75" s="17"/>
      <c r="W75" s="17"/>
      <c r="X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77"/>
      <c r="P76" s="77"/>
      <c r="Q76" s="77"/>
      <c r="R76" s="77"/>
      <c r="S76" s="77"/>
      <c r="T76" s="17"/>
      <c r="U76" s="17"/>
      <c r="V76" s="17"/>
      <c r="W76" s="17"/>
      <c r="X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77"/>
      <c r="P77" s="77"/>
      <c r="Q77" s="77"/>
      <c r="R77" s="77"/>
      <c r="S77" s="77"/>
      <c r="T77" s="17"/>
      <c r="U77" s="17"/>
      <c r="V77" s="17"/>
      <c r="W77" s="17"/>
      <c r="X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77"/>
      <c r="P78" s="77"/>
      <c r="Q78" s="77"/>
      <c r="R78" s="77"/>
      <c r="S78" s="77"/>
      <c r="T78" s="17"/>
      <c r="U78" s="17"/>
      <c r="V78" s="17"/>
      <c r="W78" s="17"/>
      <c r="X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77"/>
      <c r="P79" s="77"/>
      <c r="Q79" s="77"/>
      <c r="R79" s="77"/>
      <c r="S79" s="77"/>
      <c r="T79" s="17"/>
      <c r="U79" s="17"/>
      <c r="V79" s="17"/>
      <c r="W79" s="17"/>
      <c r="X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77"/>
      <c r="P80" s="77"/>
      <c r="Q80" s="77"/>
      <c r="R80" s="77"/>
      <c r="S80" s="77"/>
      <c r="T80" s="17"/>
      <c r="U80" s="17"/>
      <c r="V80" s="17"/>
      <c r="W80" s="17"/>
      <c r="X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77"/>
      <c r="P81" s="77"/>
      <c r="Q81" s="77"/>
      <c r="R81" s="77"/>
      <c r="S81" s="77"/>
      <c r="T81" s="17"/>
      <c r="U81" s="17"/>
      <c r="V81" s="17"/>
      <c r="W81" s="17"/>
      <c r="X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77"/>
      <c r="P82" s="77"/>
      <c r="Q82" s="77"/>
      <c r="R82" s="77"/>
      <c r="S82" s="77"/>
      <c r="T82" s="17"/>
      <c r="U82" s="17"/>
      <c r="V82" s="17"/>
      <c r="W82" s="17"/>
      <c r="X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77"/>
      <c r="P83" s="77"/>
      <c r="Q83" s="77"/>
      <c r="R83" s="77"/>
      <c r="S83" s="77"/>
      <c r="T83" s="17"/>
      <c r="U83" s="17"/>
      <c r="V83" s="17"/>
      <c r="W83" s="17"/>
      <c r="X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77"/>
      <c r="P84" s="77"/>
      <c r="Q84" s="77"/>
      <c r="R84" s="77"/>
      <c r="S84" s="77"/>
      <c r="T84" s="17"/>
      <c r="U84" s="17"/>
      <c r="V84" s="17"/>
      <c r="W84" s="17"/>
      <c r="X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77"/>
      <c r="P85" s="77"/>
      <c r="Q85" s="77"/>
      <c r="R85" s="77"/>
      <c r="S85" s="77"/>
      <c r="T85" s="17"/>
      <c r="U85" s="17"/>
      <c r="V85" s="17"/>
      <c r="W85" s="17"/>
      <c r="X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77"/>
      <c r="P86" s="77"/>
      <c r="Q86" s="77"/>
      <c r="R86" s="77"/>
      <c r="S86" s="77"/>
      <c r="T86" s="17"/>
      <c r="U86" s="17"/>
      <c r="V86" s="17"/>
      <c r="W86" s="17"/>
      <c r="X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77"/>
      <c r="P87" s="77"/>
      <c r="Q87" s="77"/>
      <c r="R87" s="77"/>
      <c r="S87" s="77"/>
      <c r="T87" s="17"/>
      <c r="U87" s="17"/>
      <c r="V87" s="17"/>
      <c r="W87" s="17"/>
      <c r="X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77"/>
      <c r="P88" s="77"/>
      <c r="Q88" s="77"/>
      <c r="R88" s="77"/>
      <c r="S88" s="77"/>
      <c r="T88" s="17"/>
      <c r="U88" s="17"/>
      <c r="V88" s="17"/>
      <c r="W88" s="17"/>
      <c r="X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77"/>
      <c r="P89" s="77"/>
      <c r="Q89" s="77"/>
      <c r="R89" s="77"/>
      <c r="S89" s="77"/>
      <c r="T89" s="17"/>
      <c r="U89" s="17"/>
      <c r="V89" s="17"/>
      <c r="W89" s="17"/>
      <c r="X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77"/>
      <c r="P90" s="77"/>
      <c r="Q90" s="77"/>
      <c r="R90" s="77"/>
      <c r="S90" s="77"/>
      <c r="T90" s="17"/>
      <c r="U90" s="17"/>
      <c r="V90" s="17"/>
      <c r="W90" s="17"/>
      <c r="X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77"/>
      <c r="P91" s="77"/>
      <c r="Q91" s="77"/>
      <c r="R91" s="77"/>
      <c r="S91" s="77"/>
      <c r="T91" s="17"/>
      <c r="U91" s="17"/>
      <c r="V91" s="17"/>
      <c r="W91" s="17"/>
      <c r="X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77"/>
      <c r="P92" s="77"/>
      <c r="Q92" s="77"/>
      <c r="R92" s="77"/>
      <c r="S92" s="77"/>
      <c r="T92" s="17"/>
      <c r="U92" s="17"/>
      <c r="V92" s="17"/>
      <c r="W92" s="17"/>
      <c r="X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77"/>
      <c r="P93" s="77"/>
      <c r="Q93" s="77"/>
      <c r="R93" s="77"/>
      <c r="S93" s="77"/>
      <c r="T93" s="17"/>
      <c r="U93" s="17"/>
      <c r="V93" s="17"/>
      <c r="W93" s="17"/>
      <c r="X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77"/>
      <c r="P94" s="77"/>
      <c r="Q94" s="77"/>
      <c r="R94" s="77"/>
      <c r="S94" s="77"/>
      <c r="T94" s="17"/>
      <c r="U94" s="17"/>
      <c r="V94" s="17"/>
      <c r="W94" s="17"/>
      <c r="X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77"/>
      <c r="P95" s="77"/>
      <c r="Q95" s="77"/>
      <c r="R95" s="77"/>
      <c r="S95" s="77"/>
      <c r="T95" s="17"/>
      <c r="U95" s="17"/>
      <c r="V95" s="17"/>
      <c r="W95" s="17"/>
      <c r="X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77"/>
      <c r="P96" s="77"/>
      <c r="Q96" s="77"/>
      <c r="R96" s="77"/>
      <c r="S96" s="77"/>
      <c r="T96" s="17"/>
      <c r="U96" s="17"/>
      <c r="V96" s="17"/>
      <c r="W96" s="17"/>
      <c r="X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77"/>
      <c r="P97" s="77"/>
      <c r="Q97" s="77"/>
      <c r="R97" s="77"/>
      <c r="S97" s="77"/>
      <c r="T97" s="17"/>
      <c r="U97" s="17"/>
      <c r="V97" s="17"/>
      <c r="W97" s="17"/>
      <c r="X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77"/>
      <c r="P98" s="77"/>
      <c r="Q98" s="77"/>
      <c r="R98" s="77"/>
      <c r="S98" s="77"/>
      <c r="T98" s="17"/>
      <c r="U98" s="17"/>
      <c r="V98" s="17"/>
      <c r="W98" s="17"/>
      <c r="X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77"/>
      <c r="P99" s="77"/>
      <c r="Q99" s="77"/>
      <c r="R99" s="77"/>
      <c r="S99" s="77"/>
      <c r="T99" s="17"/>
      <c r="U99" s="17"/>
      <c r="V99" s="17"/>
      <c r="W99" s="17"/>
      <c r="X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77"/>
      <c r="P100" s="77"/>
      <c r="Q100" s="77"/>
      <c r="R100" s="77"/>
      <c r="S100" s="77"/>
      <c r="T100" s="17"/>
      <c r="U100" s="17"/>
      <c r="V100" s="17"/>
      <c r="W100" s="17"/>
      <c r="X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77"/>
      <c r="P101" s="77"/>
      <c r="Q101" s="77"/>
      <c r="R101" s="77"/>
      <c r="S101" s="77"/>
      <c r="T101" s="17"/>
      <c r="U101" s="17"/>
      <c r="V101" s="17"/>
      <c r="W101" s="17"/>
      <c r="X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77"/>
      <c r="P102" s="77"/>
      <c r="Q102" s="77"/>
      <c r="R102" s="77"/>
      <c r="S102" s="77"/>
      <c r="T102" s="17"/>
      <c r="U102" s="17"/>
      <c r="V102" s="17"/>
      <c r="W102" s="17"/>
      <c r="X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77"/>
      <c r="P103" s="77"/>
      <c r="Q103" s="77"/>
      <c r="R103" s="77"/>
      <c r="S103" s="77"/>
      <c r="T103" s="17"/>
      <c r="U103" s="17"/>
      <c r="V103" s="17"/>
      <c r="W103" s="17"/>
      <c r="X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77"/>
      <c r="P104" s="77"/>
      <c r="Q104" s="77"/>
      <c r="R104" s="77"/>
      <c r="S104" s="77"/>
      <c r="T104" s="17"/>
      <c r="U104" s="17"/>
      <c r="V104" s="17"/>
      <c r="W104" s="17"/>
      <c r="X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77"/>
      <c r="P105" s="77"/>
      <c r="Q105" s="77"/>
      <c r="R105" s="77"/>
      <c r="S105" s="77"/>
      <c r="T105" s="17"/>
      <c r="U105" s="17"/>
      <c r="V105" s="17"/>
      <c r="W105" s="17"/>
      <c r="X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77"/>
      <c r="P106" s="77"/>
      <c r="Q106" s="77"/>
      <c r="R106" s="77"/>
      <c r="S106" s="77"/>
      <c r="T106" s="17"/>
      <c r="U106" s="17"/>
      <c r="V106" s="17"/>
      <c r="W106" s="17"/>
      <c r="X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77"/>
      <c r="P107" s="77"/>
      <c r="Q107" s="77"/>
      <c r="R107" s="77"/>
      <c r="S107" s="77"/>
      <c r="T107" s="17"/>
      <c r="U107" s="17"/>
      <c r="V107" s="17"/>
      <c r="W107" s="17"/>
      <c r="X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77"/>
      <c r="P108" s="77"/>
      <c r="Q108" s="77"/>
      <c r="R108" s="77"/>
      <c r="S108" s="77"/>
      <c r="T108" s="17"/>
      <c r="U108" s="17"/>
      <c r="V108" s="17"/>
      <c r="W108" s="17"/>
      <c r="X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77"/>
      <c r="P109" s="77"/>
      <c r="Q109" s="77"/>
      <c r="R109" s="77"/>
      <c r="S109" s="77"/>
      <c r="T109" s="17"/>
      <c r="U109" s="17"/>
      <c r="V109" s="17"/>
      <c r="W109" s="17"/>
      <c r="X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77"/>
      <c r="P110" s="77"/>
      <c r="Q110" s="77"/>
      <c r="R110" s="77"/>
      <c r="S110" s="77"/>
      <c r="T110" s="17"/>
      <c r="U110" s="17"/>
      <c r="V110" s="17"/>
      <c r="W110" s="17"/>
      <c r="X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77"/>
      <c r="P111" s="77"/>
      <c r="Q111" s="77"/>
      <c r="R111" s="77"/>
      <c r="S111" s="77"/>
      <c r="T111" s="17"/>
      <c r="U111" s="17"/>
      <c r="V111" s="17"/>
      <c r="W111" s="17"/>
      <c r="X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77"/>
      <c r="P112" s="77"/>
      <c r="Q112" s="77"/>
      <c r="R112" s="77"/>
      <c r="S112" s="77"/>
      <c r="T112" s="17"/>
      <c r="U112" s="17"/>
      <c r="V112" s="17"/>
      <c r="W112" s="17"/>
      <c r="X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77"/>
      <c r="P113" s="77"/>
      <c r="Q113" s="77"/>
      <c r="R113" s="77"/>
      <c r="S113" s="77"/>
      <c r="T113" s="17"/>
      <c r="U113" s="17"/>
      <c r="V113" s="17"/>
      <c r="W113" s="17"/>
      <c r="X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77"/>
      <c r="P114" s="77"/>
      <c r="Q114" s="77"/>
      <c r="R114" s="77"/>
      <c r="S114" s="77"/>
      <c r="T114" s="17"/>
      <c r="U114" s="17"/>
      <c r="V114" s="17"/>
      <c r="W114" s="17"/>
      <c r="X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77"/>
      <c r="P115" s="77"/>
      <c r="Q115" s="77"/>
      <c r="R115" s="77"/>
      <c r="S115" s="77"/>
      <c r="T115" s="17"/>
      <c r="U115" s="17"/>
      <c r="V115" s="17"/>
      <c r="W115" s="17"/>
      <c r="X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77"/>
      <c r="P116" s="77"/>
      <c r="Q116" s="77"/>
      <c r="R116" s="77"/>
      <c r="S116" s="77"/>
      <c r="T116" s="17"/>
      <c r="U116" s="17"/>
      <c r="V116" s="17"/>
      <c r="W116" s="17"/>
      <c r="X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77"/>
      <c r="P117" s="77"/>
      <c r="Q117" s="77"/>
      <c r="R117" s="77"/>
      <c r="S117" s="77"/>
      <c r="T117" s="17"/>
      <c r="U117" s="17"/>
      <c r="V117" s="17"/>
      <c r="W117" s="17"/>
      <c r="X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77"/>
      <c r="P118" s="77"/>
      <c r="Q118" s="77"/>
      <c r="R118" s="77"/>
      <c r="S118" s="77"/>
      <c r="T118" s="17"/>
      <c r="U118" s="17"/>
      <c r="V118" s="17"/>
      <c r="W118" s="17"/>
      <c r="X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77"/>
      <c r="P119" s="77"/>
      <c r="Q119" s="77"/>
      <c r="R119" s="77"/>
      <c r="S119" s="77"/>
      <c r="T119" s="17"/>
      <c r="U119" s="17"/>
      <c r="V119" s="17"/>
      <c r="W119" s="17"/>
      <c r="X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77"/>
      <c r="P120" s="77"/>
      <c r="Q120" s="77"/>
      <c r="R120" s="77"/>
      <c r="S120" s="77"/>
      <c r="T120" s="17"/>
      <c r="U120" s="17"/>
      <c r="V120" s="17"/>
      <c r="W120" s="17"/>
      <c r="X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77"/>
      <c r="P121" s="77"/>
      <c r="Q121" s="77"/>
      <c r="R121" s="77"/>
      <c r="S121" s="77"/>
      <c r="T121" s="17"/>
      <c r="U121" s="17"/>
      <c r="V121" s="17"/>
      <c r="W121" s="17"/>
      <c r="X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77"/>
      <c r="P122" s="77"/>
      <c r="Q122" s="77"/>
      <c r="R122" s="77"/>
      <c r="S122" s="77"/>
      <c r="T122" s="17"/>
      <c r="U122" s="17"/>
      <c r="V122" s="17"/>
      <c r="W122" s="17"/>
      <c r="X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77"/>
      <c r="P123" s="77"/>
      <c r="Q123" s="77"/>
      <c r="R123" s="77"/>
      <c r="S123" s="77"/>
      <c r="T123" s="17"/>
      <c r="U123" s="17"/>
      <c r="V123" s="17"/>
      <c r="W123" s="17"/>
      <c r="X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77"/>
      <c r="P124" s="77"/>
      <c r="Q124" s="77"/>
      <c r="R124" s="77"/>
      <c r="S124" s="77"/>
      <c r="T124" s="17"/>
      <c r="U124" s="17"/>
      <c r="V124" s="17"/>
      <c r="W124" s="17"/>
      <c r="X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77"/>
      <c r="P125" s="77"/>
      <c r="Q125" s="77"/>
      <c r="R125" s="77"/>
      <c r="S125" s="77"/>
      <c r="T125" s="17"/>
      <c r="U125" s="17"/>
      <c r="V125" s="17"/>
      <c r="W125" s="17"/>
      <c r="X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77"/>
      <c r="P126" s="77"/>
      <c r="Q126" s="77"/>
      <c r="R126" s="77"/>
      <c r="S126" s="77"/>
      <c r="T126" s="17"/>
      <c r="U126" s="17"/>
      <c r="V126" s="17"/>
      <c r="W126" s="17"/>
      <c r="X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77"/>
      <c r="P127" s="77"/>
      <c r="Q127" s="77"/>
      <c r="R127" s="77"/>
      <c r="S127" s="77"/>
      <c r="T127" s="17"/>
      <c r="U127" s="17"/>
      <c r="V127" s="17"/>
      <c r="W127" s="17"/>
      <c r="X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77"/>
      <c r="P128" s="77"/>
      <c r="Q128" s="77"/>
      <c r="R128" s="77"/>
      <c r="S128" s="77"/>
      <c r="T128" s="17"/>
      <c r="U128" s="17"/>
      <c r="V128" s="17"/>
      <c r="W128" s="17"/>
      <c r="X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77"/>
      <c r="P129" s="77"/>
      <c r="Q129" s="77"/>
      <c r="R129" s="77"/>
      <c r="S129" s="77"/>
      <c r="T129" s="17"/>
      <c r="U129" s="17"/>
      <c r="V129" s="17"/>
      <c r="W129" s="17"/>
      <c r="X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77"/>
      <c r="P130" s="77"/>
      <c r="Q130" s="77"/>
      <c r="R130" s="77"/>
      <c r="S130" s="77"/>
      <c r="T130" s="17"/>
      <c r="U130" s="17"/>
      <c r="V130" s="17"/>
      <c r="W130" s="17"/>
      <c r="X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77"/>
      <c r="P131" s="77"/>
      <c r="Q131" s="77"/>
      <c r="R131" s="77"/>
      <c r="S131" s="77"/>
      <c r="T131" s="17"/>
      <c r="U131" s="17"/>
      <c r="V131" s="17"/>
      <c r="W131" s="17"/>
      <c r="X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77"/>
      <c r="P132" s="77"/>
      <c r="Q132" s="77"/>
      <c r="R132" s="77"/>
      <c r="S132" s="77"/>
      <c r="T132" s="17"/>
      <c r="U132" s="17"/>
      <c r="V132" s="17"/>
      <c r="W132" s="17"/>
      <c r="X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77"/>
      <c r="P133" s="77"/>
      <c r="Q133" s="77"/>
      <c r="R133" s="77"/>
      <c r="S133" s="77"/>
      <c r="T133" s="17"/>
      <c r="U133" s="17"/>
      <c r="V133" s="17"/>
      <c r="W133" s="17"/>
      <c r="X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77"/>
      <c r="P134" s="77"/>
      <c r="Q134" s="77"/>
      <c r="R134" s="77"/>
      <c r="S134" s="77"/>
      <c r="T134" s="17"/>
      <c r="U134" s="17"/>
      <c r="V134" s="17"/>
      <c r="W134" s="17"/>
      <c r="X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77"/>
      <c r="P135" s="77"/>
      <c r="Q135" s="77"/>
      <c r="R135" s="77"/>
      <c r="S135" s="77"/>
      <c r="T135" s="17"/>
      <c r="U135" s="17"/>
      <c r="V135" s="17"/>
      <c r="W135" s="17"/>
      <c r="X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77"/>
      <c r="P136" s="77"/>
      <c r="Q136" s="77"/>
      <c r="R136" s="77"/>
      <c r="S136" s="77"/>
      <c r="T136" s="17"/>
      <c r="U136" s="17"/>
      <c r="V136" s="17"/>
      <c r="W136" s="17"/>
      <c r="X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77"/>
      <c r="P137" s="77"/>
      <c r="Q137" s="77"/>
      <c r="R137" s="77"/>
      <c r="S137" s="77"/>
      <c r="T137" s="17"/>
      <c r="U137" s="17"/>
      <c r="V137" s="17"/>
      <c r="W137" s="17"/>
      <c r="X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77"/>
      <c r="P138" s="77"/>
      <c r="Q138" s="77"/>
      <c r="R138" s="77"/>
      <c r="S138" s="77"/>
      <c r="T138" s="17"/>
      <c r="U138" s="17"/>
      <c r="V138" s="17"/>
      <c r="W138" s="17"/>
      <c r="X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77"/>
      <c r="P139" s="77"/>
      <c r="Q139" s="77"/>
      <c r="R139" s="77"/>
      <c r="S139" s="77"/>
      <c r="T139" s="17"/>
      <c r="U139" s="17"/>
      <c r="V139" s="17"/>
      <c r="W139" s="17"/>
      <c r="X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77"/>
      <c r="P140" s="77"/>
      <c r="Q140" s="77"/>
      <c r="R140" s="77"/>
      <c r="S140" s="77"/>
      <c r="T140" s="17"/>
      <c r="U140" s="17"/>
      <c r="V140" s="17"/>
      <c r="W140" s="17"/>
      <c r="X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77"/>
      <c r="P141" s="77"/>
      <c r="Q141" s="77"/>
      <c r="R141" s="77"/>
      <c r="S141" s="77"/>
      <c r="T141" s="17"/>
      <c r="U141" s="17"/>
      <c r="V141" s="17"/>
      <c r="W141" s="17"/>
      <c r="X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77"/>
      <c r="P142" s="77"/>
      <c r="Q142" s="77"/>
      <c r="R142" s="77"/>
      <c r="S142" s="77"/>
      <c r="T142" s="17"/>
      <c r="U142" s="17"/>
      <c r="V142" s="17"/>
      <c r="W142" s="17"/>
      <c r="X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77"/>
      <c r="P143" s="77"/>
      <c r="Q143" s="77"/>
      <c r="R143" s="77"/>
      <c r="S143" s="77"/>
      <c r="T143" s="17"/>
      <c r="U143" s="17"/>
      <c r="V143" s="17"/>
      <c r="W143" s="17"/>
      <c r="X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77"/>
      <c r="P144" s="77"/>
      <c r="Q144" s="77"/>
      <c r="R144" s="77"/>
      <c r="S144" s="77"/>
      <c r="T144" s="17"/>
      <c r="U144" s="17"/>
      <c r="V144" s="17"/>
      <c r="W144" s="17"/>
      <c r="X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77"/>
      <c r="P145" s="77"/>
      <c r="Q145" s="77"/>
      <c r="R145" s="77"/>
      <c r="S145" s="77"/>
      <c r="T145" s="17"/>
      <c r="U145" s="17"/>
      <c r="V145" s="17"/>
      <c r="W145" s="17"/>
      <c r="X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77"/>
      <c r="P146" s="77"/>
      <c r="Q146" s="77"/>
      <c r="R146" s="77"/>
      <c r="S146" s="77"/>
      <c r="T146" s="17"/>
      <c r="U146" s="17"/>
      <c r="V146" s="17"/>
      <c r="W146" s="17"/>
      <c r="X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77"/>
      <c r="P147" s="77"/>
      <c r="Q147" s="77"/>
      <c r="R147" s="77"/>
      <c r="S147" s="77"/>
      <c r="T147" s="17"/>
      <c r="U147" s="17"/>
      <c r="V147" s="17"/>
      <c r="W147" s="17"/>
      <c r="X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77"/>
      <c r="P148" s="77"/>
      <c r="Q148" s="77"/>
      <c r="R148" s="77"/>
      <c r="S148" s="77"/>
      <c r="T148" s="17"/>
      <c r="U148" s="17"/>
      <c r="V148" s="17"/>
      <c r="W148" s="17"/>
      <c r="X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77"/>
      <c r="P149" s="77"/>
      <c r="Q149" s="77"/>
      <c r="R149" s="77"/>
      <c r="S149" s="77"/>
      <c r="T149" s="17"/>
      <c r="U149" s="17"/>
      <c r="V149" s="17"/>
      <c r="W149" s="17"/>
      <c r="X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77"/>
      <c r="P150" s="77"/>
      <c r="Q150" s="77"/>
      <c r="R150" s="77"/>
      <c r="S150" s="77"/>
      <c r="T150" s="17"/>
      <c r="U150" s="17"/>
      <c r="V150" s="17"/>
      <c r="W150" s="17"/>
      <c r="X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77"/>
      <c r="P151" s="77"/>
      <c r="Q151" s="77"/>
      <c r="R151" s="77"/>
      <c r="S151" s="77"/>
      <c r="T151" s="17"/>
      <c r="U151" s="17"/>
      <c r="V151" s="17"/>
      <c r="W151" s="17"/>
      <c r="X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77"/>
      <c r="P152" s="77"/>
      <c r="Q152" s="77"/>
      <c r="R152" s="77"/>
      <c r="S152" s="77"/>
      <c r="T152" s="17"/>
      <c r="U152" s="17"/>
      <c r="V152" s="17"/>
      <c r="W152" s="17"/>
      <c r="X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77"/>
      <c r="P153" s="77"/>
      <c r="Q153" s="77"/>
      <c r="R153" s="77"/>
      <c r="S153" s="77"/>
      <c r="T153" s="17"/>
      <c r="U153" s="17"/>
      <c r="V153" s="17"/>
      <c r="W153" s="17"/>
      <c r="X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77"/>
      <c r="P154" s="77"/>
      <c r="Q154" s="77"/>
      <c r="R154" s="77"/>
      <c r="S154" s="77"/>
      <c r="T154" s="17"/>
      <c r="U154" s="17"/>
      <c r="V154" s="17"/>
      <c r="W154" s="17"/>
      <c r="X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77"/>
      <c r="P155" s="77"/>
      <c r="Q155" s="77"/>
      <c r="R155" s="77"/>
      <c r="S155" s="77"/>
      <c r="T155" s="17"/>
      <c r="U155" s="17"/>
      <c r="V155" s="17"/>
      <c r="W155" s="17"/>
      <c r="X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77"/>
      <c r="P156" s="77"/>
      <c r="Q156" s="77"/>
      <c r="R156" s="77"/>
      <c r="S156" s="77"/>
      <c r="T156" s="17"/>
      <c r="U156" s="17"/>
      <c r="V156" s="17"/>
      <c r="W156" s="17"/>
      <c r="X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77"/>
      <c r="P157" s="77"/>
      <c r="Q157" s="77"/>
      <c r="R157" s="77"/>
      <c r="S157" s="77"/>
      <c r="T157" s="17"/>
      <c r="U157" s="17"/>
      <c r="V157" s="17"/>
      <c r="W157" s="17"/>
      <c r="X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77"/>
      <c r="P158" s="77"/>
      <c r="Q158" s="77"/>
      <c r="R158" s="77"/>
      <c r="S158" s="77"/>
      <c r="T158" s="17"/>
      <c r="U158" s="17"/>
      <c r="V158" s="17"/>
      <c r="W158" s="17"/>
      <c r="X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77"/>
      <c r="P159" s="77"/>
      <c r="Q159" s="77"/>
      <c r="R159" s="77"/>
      <c r="S159" s="77"/>
      <c r="T159" s="17"/>
      <c r="U159" s="17"/>
      <c r="V159" s="17"/>
      <c r="W159" s="17"/>
      <c r="X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77"/>
      <c r="P160" s="77"/>
      <c r="Q160" s="77"/>
      <c r="R160" s="77"/>
      <c r="S160" s="77"/>
      <c r="T160" s="17"/>
      <c r="U160" s="17"/>
      <c r="V160" s="17"/>
      <c r="W160" s="17"/>
      <c r="X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77"/>
      <c r="P161" s="77"/>
      <c r="Q161" s="77"/>
      <c r="R161" s="77"/>
      <c r="S161" s="77"/>
      <c r="T161" s="17"/>
      <c r="U161" s="17"/>
      <c r="V161" s="17"/>
      <c r="W161" s="17"/>
      <c r="X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77"/>
      <c r="P162" s="77"/>
      <c r="Q162" s="77"/>
      <c r="R162" s="77"/>
      <c r="S162" s="77"/>
      <c r="T162" s="17"/>
      <c r="U162" s="17"/>
      <c r="V162" s="17"/>
      <c r="W162" s="17"/>
      <c r="X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77"/>
      <c r="P163" s="77"/>
      <c r="Q163" s="77"/>
      <c r="R163" s="77"/>
      <c r="S163" s="77"/>
      <c r="T163" s="17"/>
      <c r="U163" s="17"/>
      <c r="V163" s="17"/>
      <c r="W163" s="17"/>
      <c r="X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77"/>
      <c r="P164" s="77"/>
      <c r="Q164" s="77"/>
      <c r="R164" s="77"/>
      <c r="S164" s="77"/>
      <c r="T164" s="17"/>
      <c r="U164" s="17"/>
      <c r="V164" s="17"/>
      <c r="W164" s="17"/>
      <c r="X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77"/>
      <c r="P165" s="77"/>
      <c r="Q165" s="77"/>
      <c r="R165" s="77"/>
      <c r="S165" s="77"/>
      <c r="T165" s="17"/>
      <c r="U165" s="17"/>
      <c r="V165" s="17"/>
      <c r="W165" s="17"/>
      <c r="X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77"/>
      <c r="P166" s="77"/>
      <c r="Q166" s="77"/>
      <c r="R166" s="77"/>
      <c r="S166" s="77"/>
      <c r="T166" s="17"/>
      <c r="U166" s="17"/>
      <c r="V166" s="17"/>
      <c r="W166" s="17"/>
      <c r="X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77"/>
      <c r="P167" s="77"/>
      <c r="Q167" s="77"/>
      <c r="R167" s="77"/>
      <c r="S167" s="77"/>
      <c r="T167" s="17"/>
      <c r="U167" s="17"/>
      <c r="V167" s="17"/>
      <c r="W167" s="17"/>
      <c r="X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77"/>
      <c r="P168" s="77"/>
      <c r="Q168" s="77"/>
      <c r="R168" s="77"/>
      <c r="S168" s="77"/>
      <c r="T168" s="17"/>
      <c r="U168" s="17"/>
      <c r="V168" s="17"/>
      <c r="W168" s="17"/>
      <c r="X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77"/>
      <c r="P169" s="77"/>
      <c r="Q169" s="77"/>
      <c r="R169" s="77"/>
      <c r="S169" s="77"/>
      <c r="T169" s="17"/>
      <c r="U169" s="17"/>
      <c r="V169" s="17"/>
      <c r="W169" s="17"/>
      <c r="X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77"/>
      <c r="P170" s="77"/>
      <c r="Q170" s="77"/>
      <c r="R170" s="77"/>
      <c r="S170" s="77"/>
      <c r="T170" s="17"/>
      <c r="U170" s="17"/>
      <c r="V170" s="17"/>
      <c r="W170" s="17"/>
      <c r="X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77"/>
      <c r="P171" s="77"/>
      <c r="Q171" s="77"/>
      <c r="R171" s="77"/>
      <c r="S171" s="77"/>
      <c r="T171" s="17"/>
      <c r="U171" s="17"/>
      <c r="V171" s="17"/>
      <c r="W171" s="17"/>
      <c r="X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77"/>
      <c r="P172" s="77"/>
      <c r="Q172" s="77"/>
      <c r="R172" s="77"/>
      <c r="S172" s="77"/>
      <c r="T172" s="17"/>
      <c r="U172" s="17"/>
      <c r="V172" s="17"/>
      <c r="W172" s="17"/>
      <c r="X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77"/>
      <c r="P173" s="77"/>
      <c r="Q173" s="77"/>
      <c r="R173" s="77"/>
      <c r="S173" s="77"/>
      <c r="T173" s="17"/>
      <c r="U173" s="17"/>
      <c r="V173" s="17"/>
      <c r="W173" s="17"/>
      <c r="X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77"/>
      <c r="P174" s="77"/>
      <c r="Q174" s="77"/>
      <c r="R174" s="77"/>
      <c r="S174" s="77"/>
      <c r="T174" s="17"/>
      <c r="U174" s="17"/>
      <c r="V174" s="17"/>
      <c r="W174" s="17"/>
      <c r="X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77"/>
      <c r="P175" s="77"/>
      <c r="Q175" s="77"/>
      <c r="R175" s="77"/>
      <c r="S175" s="77"/>
      <c r="T175" s="17"/>
      <c r="U175" s="17"/>
      <c r="V175" s="17"/>
      <c r="W175" s="17"/>
      <c r="X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77"/>
      <c r="P176" s="77"/>
      <c r="Q176" s="77"/>
      <c r="R176" s="77"/>
      <c r="S176" s="77"/>
      <c r="T176" s="17"/>
      <c r="U176" s="17"/>
      <c r="V176" s="17"/>
      <c r="W176" s="17"/>
      <c r="X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77"/>
      <c r="P177" s="77"/>
      <c r="Q177" s="77"/>
      <c r="R177" s="77"/>
      <c r="S177" s="77"/>
      <c r="T177" s="17"/>
      <c r="U177" s="17"/>
      <c r="V177" s="17"/>
      <c r="W177" s="17"/>
      <c r="X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77"/>
      <c r="P178" s="77"/>
      <c r="Q178" s="77"/>
      <c r="R178" s="77"/>
      <c r="S178" s="77"/>
      <c r="T178" s="17"/>
      <c r="U178" s="17"/>
      <c r="V178" s="17"/>
      <c r="W178" s="17"/>
      <c r="X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77"/>
      <c r="P179" s="77"/>
      <c r="Q179" s="77"/>
      <c r="R179" s="77"/>
      <c r="S179" s="77"/>
      <c r="T179" s="17"/>
      <c r="U179" s="17"/>
      <c r="V179" s="17"/>
      <c r="W179" s="17"/>
      <c r="X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77"/>
      <c r="P180" s="77"/>
      <c r="Q180" s="77"/>
      <c r="R180" s="77"/>
      <c r="S180" s="77"/>
      <c r="T180" s="17"/>
      <c r="U180" s="17"/>
      <c r="V180" s="17"/>
      <c r="W180" s="17"/>
      <c r="X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77"/>
      <c r="P181" s="77"/>
      <c r="Q181" s="77"/>
      <c r="R181" s="77"/>
      <c r="S181" s="77"/>
      <c r="T181" s="17"/>
      <c r="U181" s="17"/>
      <c r="V181" s="17"/>
      <c r="W181" s="17"/>
      <c r="X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77"/>
      <c r="P182" s="77"/>
      <c r="Q182" s="77"/>
      <c r="R182" s="77"/>
      <c r="S182" s="77"/>
      <c r="T182" s="17"/>
      <c r="U182" s="17"/>
      <c r="V182" s="17"/>
      <c r="W182" s="17"/>
      <c r="X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77"/>
      <c r="P183" s="77"/>
      <c r="Q183" s="77"/>
      <c r="R183" s="77"/>
      <c r="S183" s="77"/>
      <c r="T183" s="17"/>
      <c r="U183" s="17"/>
      <c r="V183" s="17"/>
      <c r="W183" s="17"/>
      <c r="X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77"/>
      <c r="P184" s="77"/>
      <c r="Q184" s="77"/>
      <c r="R184" s="77"/>
      <c r="S184" s="77"/>
      <c r="T184" s="17"/>
      <c r="U184" s="17"/>
      <c r="V184" s="17"/>
      <c r="W184" s="17"/>
      <c r="X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77"/>
      <c r="P185" s="77"/>
      <c r="Q185" s="77"/>
      <c r="R185" s="77"/>
      <c r="S185" s="77"/>
      <c r="T185" s="17"/>
      <c r="U185" s="17"/>
      <c r="V185" s="17"/>
      <c r="W185" s="17"/>
      <c r="X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77"/>
      <c r="P186" s="77"/>
      <c r="Q186" s="77"/>
      <c r="R186" s="77"/>
      <c r="S186" s="77"/>
      <c r="T186" s="17"/>
      <c r="U186" s="17"/>
      <c r="V186" s="17"/>
      <c r="W186" s="17"/>
      <c r="X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77"/>
      <c r="P187" s="77"/>
      <c r="Q187" s="77"/>
      <c r="R187" s="77"/>
      <c r="S187" s="77"/>
      <c r="T187" s="17"/>
      <c r="U187" s="17"/>
      <c r="V187" s="17"/>
      <c r="W187" s="17"/>
      <c r="X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77"/>
      <c r="P188" s="77"/>
      <c r="Q188" s="77"/>
      <c r="R188" s="77"/>
      <c r="S188" s="77"/>
      <c r="T188" s="17"/>
      <c r="U188" s="17"/>
      <c r="V188" s="17"/>
      <c r="W188" s="17"/>
      <c r="X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77"/>
      <c r="P189" s="77"/>
      <c r="Q189" s="77"/>
      <c r="R189" s="77"/>
      <c r="S189" s="77"/>
      <c r="T189" s="17"/>
      <c r="U189" s="17"/>
      <c r="V189" s="17"/>
      <c r="W189" s="17"/>
      <c r="X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77"/>
      <c r="P190" s="77"/>
      <c r="Q190" s="77"/>
      <c r="R190" s="77"/>
      <c r="S190" s="77"/>
      <c r="T190" s="17"/>
      <c r="U190" s="17"/>
      <c r="V190" s="17"/>
      <c r="W190" s="17"/>
      <c r="X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77"/>
      <c r="P191" s="77"/>
      <c r="Q191" s="77"/>
      <c r="R191" s="77"/>
      <c r="S191" s="77"/>
      <c r="T191" s="17"/>
      <c r="U191" s="17"/>
      <c r="V191" s="17"/>
      <c r="W191" s="17"/>
      <c r="X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77"/>
      <c r="P192" s="77"/>
      <c r="Q192" s="77"/>
      <c r="R192" s="77"/>
      <c r="S192" s="77"/>
      <c r="T192" s="17"/>
      <c r="U192" s="17"/>
      <c r="V192" s="17"/>
      <c r="W192" s="17"/>
      <c r="X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77"/>
      <c r="P193" s="77"/>
      <c r="Q193" s="77"/>
      <c r="R193" s="77"/>
      <c r="S193" s="77"/>
      <c r="T193" s="17"/>
      <c r="U193" s="17"/>
      <c r="V193" s="17"/>
      <c r="W193" s="17"/>
      <c r="X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77"/>
      <c r="P194" s="77"/>
      <c r="Q194" s="77"/>
      <c r="R194" s="77"/>
      <c r="S194" s="77"/>
      <c r="T194" s="17"/>
      <c r="U194" s="17"/>
      <c r="V194" s="17"/>
      <c r="W194" s="17"/>
      <c r="X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77"/>
      <c r="P195" s="77"/>
      <c r="Q195" s="77"/>
      <c r="R195" s="77"/>
      <c r="S195" s="77"/>
      <c r="T195" s="17"/>
      <c r="U195" s="17"/>
      <c r="V195" s="17"/>
      <c r="W195" s="17"/>
      <c r="X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77"/>
      <c r="P196" s="77"/>
      <c r="Q196" s="77"/>
      <c r="R196" s="77"/>
      <c r="S196" s="77"/>
      <c r="T196" s="17"/>
      <c r="U196" s="17"/>
      <c r="V196" s="17"/>
      <c r="W196" s="17"/>
      <c r="X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77"/>
      <c r="P197" s="77"/>
      <c r="Q197" s="77"/>
      <c r="R197" s="77"/>
      <c r="S197" s="77"/>
      <c r="T197" s="17"/>
      <c r="U197" s="17"/>
      <c r="V197" s="17"/>
      <c r="W197" s="17"/>
      <c r="X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77"/>
      <c r="P198" s="77"/>
      <c r="Q198" s="77"/>
      <c r="R198" s="77"/>
      <c r="S198" s="77"/>
      <c r="T198" s="17"/>
      <c r="U198" s="17"/>
      <c r="V198" s="17"/>
      <c r="W198" s="17"/>
      <c r="X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77"/>
      <c r="P199" s="77"/>
      <c r="Q199" s="77"/>
      <c r="R199" s="77"/>
      <c r="S199" s="77"/>
      <c r="T199" s="17"/>
      <c r="U199" s="17"/>
      <c r="V199" s="17"/>
      <c r="W199" s="17"/>
      <c r="X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77"/>
      <c r="P200" s="77"/>
      <c r="Q200" s="77"/>
      <c r="R200" s="77"/>
      <c r="S200" s="77"/>
      <c r="T200" s="17"/>
      <c r="U200" s="17"/>
      <c r="V200" s="17"/>
      <c r="W200" s="17"/>
      <c r="X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77"/>
      <c r="P201" s="77"/>
      <c r="Q201" s="77"/>
      <c r="R201" s="77"/>
      <c r="S201" s="77"/>
      <c r="T201" s="17"/>
      <c r="U201" s="17"/>
      <c r="V201" s="17"/>
      <c r="W201" s="17"/>
      <c r="X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77"/>
      <c r="P202" s="77"/>
      <c r="Q202" s="77"/>
      <c r="R202" s="77"/>
      <c r="S202" s="77"/>
      <c r="T202" s="17"/>
      <c r="U202" s="17"/>
      <c r="V202" s="17"/>
      <c r="W202" s="17"/>
      <c r="X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77"/>
      <c r="P203" s="77"/>
      <c r="Q203" s="77"/>
      <c r="R203" s="77"/>
      <c r="S203" s="77"/>
      <c r="T203" s="17"/>
      <c r="U203" s="17"/>
      <c r="V203" s="17"/>
      <c r="W203" s="17"/>
      <c r="X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77"/>
      <c r="P204" s="77"/>
      <c r="Q204" s="77"/>
      <c r="R204" s="77"/>
      <c r="S204" s="77"/>
      <c r="T204" s="17"/>
      <c r="U204" s="17"/>
      <c r="V204" s="17"/>
      <c r="W204" s="17"/>
      <c r="X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77"/>
      <c r="P205" s="77"/>
      <c r="Q205" s="77"/>
      <c r="R205" s="77"/>
      <c r="S205" s="77"/>
      <c r="T205" s="17"/>
      <c r="U205" s="17"/>
      <c r="V205" s="17"/>
      <c r="W205" s="17"/>
      <c r="X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77"/>
      <c r="P206" s="77"/>
      <c r="Q206" s="77"/>
      <c r="R206" s="77"/>
      <c r="S206" s="77"/>
      <c r="T206" s="17"/>
      <c r="U206" s="17"/>
      <c r="V206" s="17"/>
      <c r="W206" s="17"/>
      <c r="X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77"/>
      <c r="P207" s="77"/>
      <c r="Q207" s="77"/>
      <c r="R207" s="77"/>
      <c r="S207" s="77"/>
      <c r="T207" s="17"/>
      <c r="U207" s="17"/>
      <c r="V207" s="17"/>
      <c r="W207" s="17"/>
      <c r="X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77"/>
      <c r="P208" s="77"/>
      <c r="Q208" s="77"/>
      <c r="R208" s="77"/>
      <c r="S208" s="77"/>
      <c r="T208" s="17"/>
      <c r="U208" s="17"/>
      <c r="V208" s="17"/>
      <c r="W208" s="17"/>
      <c r="X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77"/>
      <c r="P209" s="77"/>
      <c r="Q209" s="77"/>
      <c r="R209" s="77"/>
      <c r="S209" s="77"/>
      <c r="T209" s="17"/>
      <c r="U209" s="17"/>
      <c r="V209" s="17"/>
      <c r="W209" s="17"/>
      <c r="X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77"/>
      <c r="P210" s="77"/>
      <c r="Q210" s="77"/>
      <c r="R210" s="77"/>
      <c r="S210" s="77"/>
      <c r="T210" s="17"/>
      <c r="U210" s="17"/>
      <c r="V210" s="17"/>
      <c r="W210" s="17"/>
      <c r="X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77"/>
      <c r="P211" s="77"/>
      <c r="Q211" s="77"/>
      <c r="R211" s="77"/>
      <c r="S211" s="77"/>
      <c r="T211" s="17"/>
      <c r="U211" s="17"/>
      <c r="V211" s="17"/>
      <c r="W211" s="17"/>
      <c r="X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77"/>
      <c r="P212" s="77"/>
      <c r="Q212" s="77"/>
      <c r="R212" s="77"/>
      <c r="S212" s="77"/>
      <c r="T212" s="17"/>
      <c r="U212" s="17"/>
      <c r="V212" s="17"/>
      <c r="W212" s="17"/>
      <c r="X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77"/>
      <c r="P213" s="77"/>
      <c r="Q213" s="77"/>
      <c r="R213" s="77"/>
      <c r="S213" s="77"/>
      <c r="T213" s="17"/>
      <c r="U213" s="17"/>
      <c r="V213" s="17"/>
      <c r="W213" s="17"/>
      <c r="X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77"/>
      <c r="P214" s="77"/>
      <c r="Q214" s="77"/>
      <c r="R214" s="77"/>
      <c r="S214" s="77"/>
      <c r="T214" s="17"/>
      <c r="U214" s="17"/>
      <c r="V214" s="17"/>
      <c r="W214" s="17"/>
      <c r="X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77"/>
      <c r="P215" s="77"/>
      <c r="Q215" s="77"/>
      <c r="R215" s="77"/>
      <c r="S215" s="77"/>
      <c r="T215" s="17"/>
      <c r="U215" s="17"/>
      <c r="V215" s="17"/>
      <c r="W215" s="17"/>
      <c r="X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77"/>
      <c r="P216" s="77"/>
      <c r="Q216" s="77"/>
      <c r="R216" s="77"/>
      <c r="S216" s="77"/>
      <c r="T216" s="17"/>
      <c r="U216" s="17"/>
      <c r="V216" s="17"/>
      <c r="W216" s="17"/>
      <c r="X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77"/>
      <c r="P217" s="77"/>
      <c r="Q217" s="77"/>
      <c r="R217" s="77"/>
      <c r="S217" s="77"/>
      <c r="T217" s="17"/>
      <c r="U217" s="17"/>
      <c r="V217" s="17"/>
      <c r="W217" s="17"/>
      <c r="X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77"/>
      <c r="P218" s="77"/>
      <c r="Q218" s="77"/>
      <c r="R218" s="77"/>
      <c r="S218" s="77"/>
      <c r="T218" s="17"/>
      <c r="U218" s="17"/>
      <c r="V218" s="17"/>
      <c r="W218" s="17"/>
      <c r="X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77"/>
      <c r="P219" s="77"/>
      <c r="Q219" s="77"/>
      <c r="R219" s="77"/>
      <c r="S219" s="77"/>
      <c r="T219" s="17"/>
      <c r="U219" s="17"/>
      <c r="V219" s="17"/>
      <c r="W219" s="17"/>
      <c r="X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77"/>
      <c r="P220" s="77"/>
      <c r="Q220" s="77"/>
      <c r="R220" s="77"/>
      <c r="S220" s="77"/>
      <c r="T220" s="17"/>
      <c r="U220" s="17"/>
      <c r="V220" s="17"/>
      <c r="W220" s="17"/>
      <c r="X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77"/>
      <c r="P221" s="77"/>
      <c r="Q221" s="77"/>
      <c r="R221" s="77"/>
      <c r="S221" s="77"/>
      <c r="T221" s="17"/>
      <c r="U221" s="17"/>
      <c r="V221" s="17"/>
      <c r="W221" s="17"/>
      <c r="X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77"/>
      <c r="P222" s="77"/>
      <c r="Q222" s="77"/>
      <c r="R222" s="77"/>
      <c r="S222" s="77"/>
      <c r="T222" s="17"/>
      <c r="U222" s="17"/>
      <c r="V222" s="17"/>
      <c r="W222" s="17"/>
      <c r="X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77"/>
      <c r="P223" s="77"/>
      <c r="Q223" s="77"/>
      <c r="R223" s="77"/>
      <c r="S223" s="77"/>
      <c r="T223" s="17"/>
      <c r="U223" s="17"/>
      <c r="V223" s="17"/>
      <c r="W223" s="17"/>
      <c r="X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77"/>
      <c r="P224" s="77"/>
      <c r="Q224" s="77"/>
      <c r="R224" s="77"/>
      <c r="S224" s="77"/>
      <c r="T224" s="17"/>
      <c r="U224" s="17"/>
      <c r="V224" s="17"/>
      <c r="W224" s="17"/>
      <c r="X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77"/>
      <c r="P225" s="77"/>
      <c r="Q225" s="77"/>
      <c r="R225" s="77"/>
      <c r="S225" s="77"/>
      <c r="T225" s="17"/>
      <c r="U225" s="17"/>
      <c r="V225" s="17"/>
      <c r="W225" s="17"/>
      <c r="X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77"/>
      <c r="P226" s="77"/>
      <c r="Q226" s="77"/>
      <c r="R226" s="77"/>
      <c r="S226" s="77"/>
      <c r="T226" s="17"/>
      <c r="U226" s="17"/>
      <c r="V226" s="17"/>
      <c r="W226" s="17"/>
      <c r="X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77"/>
      <c r="P227" s="77"/>
      <c r="Q227" s="77"/>
      <c r="R227" s="77"/>
      <c r="S227" s="77"/>
      <c r="T227" s="17"/>
      <c r="U227" s="17"/>
      <c r="V227" s="17"/>
      <c r="W227" s="17"/>
      <c r="X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77"/>
      <c r="P228" s="77"/>
      <c r="Q228" s="77"/>
      <c r="R228" s="77"/>
      <c r="S228" s="77"/>
      <c r="T228" s="17"/>
      <c r="U228" s="17"/>
      <c r="V228" s="17"/>
      <c r="W228" s="17"/>
      <c r="X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77"/>
      <c r="P229" s="77"/>
      <c r="Q229" s="77"/>
      <c r="R229" s="77"/>
      <c r="S229" s="77"/>
      <c r="T229" s="17"/>
      <c r="U229" s="17"/>
      <c r="V229" s="17"/>
      <c r="W229" s="17"/>
      <c r="X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77"/>
      <c r="P230" s="77"/>
      <c r="Q230" s="77"/>
      <c r="R230" s="77"/>
      <c r="S230" s="77"/>
      <c r="T230" s="17"/>
      <c r="U230" s="17"/>
      <c r="V230" s="17"/>
      <c r="W230" s="17"/>
      <c r="X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77"/>
      <c r="P231" s="77"/>
      <c r="Q231" s="77"/>
      <c r="R231" s="77"/>
      <c r="S231" s="77"/>
      <c r="T231" s="17"/>
      <c r="U231" s="17"/>
      <c r="V231" s="17"/>
      <c r="W231" s="17"/>
      <c r="X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77"/>
      <c r="P232" s="77"/>
      <c r="Q232" s="77"/>
      <c r="R232" s="77"/>
      <c r="S232" s="77"/>
      <c r="T232" s="17"/>
      <c r="U232" s="17"/>
      <c r="V232" s="17"/>
      <c r="W232" s="17"/>
      <c r="X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77"/>
      <c r="P233" s="77"/>
      <c r="Q233" s="77"/>
      <c r="R233" s="77"/>
      <c r="S233" s="77"/>
      <c r="T233" s="17"/>
      <c r="U233" s="17"/>
      <c r="V233" s="17"/>
      <c r="W233" s="17"/>
      <c r="X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77"/>
      <c r="P234" s="77"/>
      <c r="Q234" s="77"/>
      <c r="R234" s="77"/>
      <c r="S234" s="77"/>
      <c r="T234" s="17"/>
      <c r="U234" s="17"/>
      <c r="V234" s="17"/>
      <c r="W234" s="17"/>
      <c r="X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77"/>
      <c r="P235" s="77"/>
      <c r="Q235" s="77"/>
      <c r="R235" s="77"/>
      <c r="S235" s="77"/>
      <c r="T235" s="17"/>
      <c r="U235" s="17"/>
      <c r="V235" s="17"/>
      <c r="W235" s="17"/>
      <c r="X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77"/>
      <c r="P236" s="77"/>
      <c r="Q236" s="77"/>
      <c r="R236" s="77"/>
      <c r="S236" s="77"/>
      <c r="T236" s="17"/>
      <c r="U236" s="17"/>
      <c r="V236" s="17"/>
      <c r="W236" s="17"/>
      <c r="X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77"/>
      <c r="P237" s="77"/>
      <c r="Q237" s="77"/>
      <c r="R237" s="77"/>
      <c r="S237" s="77"/>
      <c r="T237" s="17"/>
      <c r="U237" s="17"/>
      <c r="V237" s="17"/>
      <c r="W237" s="17"/>
      <c r="X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77"/>
      <c r="P238" s="77"/>
      <c r="Q238" s="77"/>
      <c r="R238" s="77"/>
      <c r="S238" s="77"/>
      <c r="T238" s="17"/>
      <c r="U238" s="17"/>
      <c r="V238" s="17"/>
      <c r="W238" s="17"/>
      <c r="X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77"/>
      <c r="P239" s="77"/>
      <c r="Q239" s="77"/>
      <c r="R239" s="77"/>
      <c r="S239" s="77"/>
      <c r="T239" s="17"/>
      <c r="U239" s="17"/>
      <c r="V239" s="17"/>
      <c r="W239" s="17"/>
      <c r="X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77"/>
      <c r="P240" s="77"/>
      <c r="Q240" s="77"/>
      <c r="R240" s="77"/>
      <c r="S240" s="77"/>
      <c r="T240" s="17"/>
      <c r="U240" s="17"/>
      <c r="V240" s="17"/>
      <c r="W240" s="17"/>
      <c r="X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77"/>
      <c r="P241" s="77"/>
      <c r="Q241" s="77"/>
      <c r="R241" s="77"/>
      <c r="S241" s="77"/>
      <c r="T241" s="17"/>
      <c r="U241" s="17"/>
      <c r="V241" s="17"/>
      <c r="W241" s="17"/>
      <c r="X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77"/>
      <c r="P242" s="77"/>
      <c r="Q242" s="77"/>
      <c r="R242" s="77"/>
      <c r="S242" s="77"/>
      <c r="T242" s="17"/>
      <c r="U242" s="17"/>
      <c r="V242" s="17"/>
      <c r="W242" s="17"/>
      <c r="X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77"/>
      <c r="P243" s="77"/>
      <c r="Q243" s="77"/>
      <c r="R243" s="77"/>
      <c r="S243" s="77"/>
      <c r="T243" s="17"/>
      <c r="U243" s="17"/>
      <c r="V243" s="17"/>
      <c r="W243" s="17"/>
      <c r="X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77"/>
      <c r="P244" s="77"/>
      <c r="Q244" s="77"/>
      <c r="R244" s="77"/>
      <c r="S244" s="77"/>
      <c r="T244" s="17"/>
      <c r="U244" s="17"/>
      <c r="V244" s="17"/>
      <c r="W244" s="17"/>
      <c r="X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77"/>
      <c r="P245" s="77"/>
      <c r="Q245" s="77"/>
      <c r="R245" s="77"/>
      <c r="S245" s="77"/>
      <c r="T245" s="17"/>
      <c r="U245" s="17"/>
      <c r="V245" s="17"/>
      <c r="W245" s="17"/>
      <c r="X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77"/>
      <c r="P246" s="77"/>
      <c r="Q246" s="77"/>
      <c r="R246" s="77"/>
      <c r="S246" s="77"/>
      <c r="T246" s="17"/>
      <c r="U246" s="17"/>
      <c r="V246" s="17"/>
      <c r="W246" s="17"/>
      <c r="X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77"/>
      <c r="P247" s="77"/>
      <c r="Q247" s="77"/>
      <c r="R247" s="77"/>
      <c r="S247" s="77"/>
      <c r="T247" s="17"/>
      <c r="U247" s="17"/>
      <c r="V247" s="17"/>
      <c r="W247" s="17"/>
      <c r="X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77"/>
      <c r="P248" s="77"/>
      <c r="Q248" s="77"/>
      <c r="R248" s="77"/>
      <c r="S248" s="77"/>
      <c r="T248" s="17"/>
      <c r="U248" s="17"/>
      <c r="V248" s="17"/>
      <c r="W248" s="17"/>
      <c r="X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77"/>
      <c r="P249" s="77"/>
      <c r="Q249" s="77"/>
      <c r="R249" s="77"/>
      <c r="S249" s="77"/>
      <c r="T249" s="17"/>
      <c r="U249" s="17"/>
      <c r="V249" s="17"/>
      <c r="W249" s="17"/>
      <c r="X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77"/>
      <c r="P250" s="77"/>
      <c r="Q250" s="77"/>
      <c r="R250" s="77"/>
      <c r="S250" s="77"/>
      <c r="T250" s="17"/>
      <c r="U250" s="17"/>
      <c r="V250" s="17"/>
      <c r="W250" s="17"/>
      <c r="X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77"/>
      <c r="P251" s="77"/>
      <c r="Q251" s="77"/>
      <c r="R251" s="77"/>
      <c r="S251" s="77"/>
      <c r="T251" s="17"/>
      <c r="U251" s="17"/>
      <c r="V251" s="17"/>
      <c r="W251" s="17"/>
      <c r="X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77"/>
      <c r="P252" s="77"/>
      <c r="Q252" s="77"/>
      <c r="R252" s="77"/>
      <c r="S252" s="77"/>
      <c r="T252" s="17"/>
      <c r="U252" s="17"/>
      <c r="V252" s="17"/>
      <c r="W252" s="17"/>
      <c r="X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77"/>
      <c r="P253" s="77"/>
      <c r="Q253" s="77"/>
      <c r="R253" s="77"/>
      <c r="S253" s="77"/>
      <c r="T253" s="17"/>
      <c r="U253" s="17"/>
      <c r="V253" s="17"/>
      <c r="W253" s="17"/>
      <c r="X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77"/>
      <c r="P254" s="77"/>
      <c r="Q254" s="77"/>
      <c r="R254" s="77"/>
      <c r="S254" s="77"/>
      <c r="T254" s="17"/>
      <c r="U254" s="17"/>
      <c r="V254" s="17"/>
      <c r="W254" s="17"/>
      <c r="X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77"/>
      <c r="P255" s="77"/>
      <c r="Q255" s="77"/>
      <c r="R255" s="77"/>
      <c r="S255" s="77"/>
      <c r="T255" s="17"/>
      <c r="U255" s="17"/>
      <c r="V255" s="17"/>
      <c r="W255" s="17"/>
      <c r="X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77"/>
      <c r="P256" s="77"/>
      <c r="Q256" s="77"/>
      <c r="R256" s="77"/>
      <c r="S256" s="77"/>
      <c r="T256" s="17"/>
      <c r="U256" s="17"/>
      <c r="V256" s="17"/>
      <c r="W256" s="17"/>
      <c r="X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77"/>
      <c r="P257" s="77"/>
      <c r="Q257" s="77"/>
      <c r="R257" s="77"/>
      <c r="S257" s="77"/>
      <c r="T257" s="17"/>
      <c r="U257" s="17"/>
      <c r="V257" s="17"/>
      <c r="W257" s="17"/>
      <c r="X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77"/>
      <c r="P258" s="77"/>
      <c r="Q258" s="77"/>
      <c r="R258" s="77"/>
      <c r="S258" s="77"/>
      <c r="T258" s="17"/>
      <c r="U258" s="17"/>
      <c r="V258" s="17"/>
      <c r="W258" s="17"/>
      <c r="X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77"/>
      <c r="P259" s="77"/>
      <c r="Q259" s="77"/>
      <c r="R259" s="77"/>
      <c r="S259" s="77"/>
      <c r="T259" s="17"/>
      <c r="U259" s="17"/>
      <c r="V259" s="17"/>
      <c r="W259" s="17"/>
      <c r="X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77"/>
      <c r="P260" s="77"/>
      <c r="Q260" s="77"/>
      <c r="R260" s="77"/>
      <c r="S260" s="77"/>
      <c r="T260" s="17"/>
      <c r="U260" s="17"/>
      <c r="V260" s="17"/>
      <c r="W260" s="17"/>
      <c r="X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77"/>
      <c r="P261" s="77"/>
      <c r="Q261" s="77"/>
      <c r="R261" s="77"/>
      <c r="S261" s="77"/>
      <c r="T261" s="17"/>
      <c r="U261" s="17"/>
      <c r="V261" s="17"/>
      <c r="W261" s="17"/>
      <c r="X261" s="1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</row>
  </sheetData>
  <mergeCells count="4">
    <mergeCell ref="A1:C1"/>
    <mergeCell ref="E1:I1"/>
    <mergeCell ref="J1:L1"/>
    <mergeCell ref="M1:P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5" width="14.0"/>
    <col customWidth="1" min="6" max="11" width="12.0"/>
  </cols>
  <sheetData>
    <row r="1" ht="17.25" customHeight="1">
      <c r="A1" s="90" t="s">
        <v>200</v>
      </c>
      <c r="B1" s="45"/>
      <c r="C1" s="45"/>
      <c r="D1" s="45"/>
      <c r="E1" s="45"/>
      <c r="F1" s="45"/>
      <c r="G1" s="45"/>
      <c r="H1" s="46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43.5" customHeight="1">
      <c r="A2" s="47" t="s">
        <v>2</v>
      </c>
      <c r="B2" s="47" t="s">
        <v>201</v>
      </c>
      <c r="C2" s="48" t="s">
        <v>202</v>
      </c>
      <c r="D2" s="81" t="s">
        <v>203</v>
      </c>
      <c r="E2" s="81" t="s">
        <v>204</v>
      </c>
      <c r="F2" s="81" t="s">
        <v>205</v>
      </c>
      <c r="G2" s="61" t="s">
        <v>190</v>
      </c>
      <c r="H2" s="78" t="s">
        <v>206</v>
      </c>
      <c r="I2" s="78" t="s">
        <v>207</v>
      </c>
      <c r="J2" s="70" t="s">
        <v>191</v>
      </c>
      <c r="K2" s="70" t="s">
        <v>192</v>
      </c>
      <c r="L2" s="81" t="s">
        <v>208</v>
      </c>
      <c r="M2" s="81" t="s">
        <v>209</v>
      </c>
      <c r="N2" s="81" t="s">
        <v>210</v>
      </c>
      <c r="O2" s="91" t="s">
        <v>211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1.75" customHeight="1">
      <c r="A3" s="92" t="s">
        <v>33</v>
      </c>
      <c r="B3" s="93">
        <f>COUNTIF(Analysis!C$3:C$61,"25th Anniversary Japanese")</f>
        <v>10</v>
      </c>
      <c r="C3" s="94">
        <f>IFERROR(SUMIF(Analysis!C$3:C$61,"25th Anniversary Japanese",Analysis!D$3:D$61),0)</f>
        <v>6078</v>
      </c>
      <c r="D3" s="95">
        <f>IFERROR(SUMIF(Analysis!C$3:C$61,"25th Anniversary Japanese",Analysis!U$3:U$61),0)</f>
        <v>11353.85</v>
      </c>
      <c r="E3" s="95">
        <f>IFERROR(SUMIF(Analysis!C$3:C$61,"25th Anniversary Japanese",Analysis!V$3:V$61),0)</f>
        <v>5275.85</v>
      </c>
      <c r="F3" s="96">
        <f t="shared" ref="F3:F8" si="1">E3/C3</f>
        <v>0.8680240211</v>
      </c>
      <c r="G3" s="97">
        <f>IFERROR(SUMIF(Analysis!C$3:C$61,"25th Anniversary Japanese",Analysis!O$3:O$61),0)</f>
        <v>100</v>
      </c>
      <c r="H3" s="98">
        <f>IFERROR(FLOOR(minifs(Analysis!O$3:O$61,Analysis!C$3:C$61,"25th Anniversary Japanese"),1),0)</f>
        <v>7</v>
      </c>
      <c r="I3" s="99">
        <v>1250.0</v>
      </c>
      <c r="J3" s="100">
        <f>IFERROR(SUMIF(Analysis!C$3:C$61,A3,Analysis!P$3:P$61),0)</f>
        <v>59</v>
      </c>
      <c r="K3" s="97">
        <f>IFERROR(SUMIF(Analysis!C$3:C$61,"25th Anniversary Japanese",Analysis!Q$3:Q$61),0)</f>
        <v>26</v>
      </c>
      <c r="L3" s="95">
        <f>IFERROR(SUMIF(Analysis!C$3:C$61,"25th Anniversary Japanese",Analysis!X$3:X$61)+(I3*H3),0)</f>
        <v>14363.85</v>
      </c>
      <c r="M3" s="95">
        <f t="shared" ref="M3:M8" si="2">L3-C3</f>
        <v>8285.85</v>
      </c>
      <c r="N3" s="96">
        <f t="shared" ref="N3:N8" si="3">M3/C3</f>
        <v>1.363252715</v>
      </c>
      <c r="O3" s="95">
        <f>M3/20</f>
        <v>414.2925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1.75" customHeight="1">
      <c r="A4" s="101" t="s">
        <v>56</v>
      </c>
      <c r="B4" s="102">
        <f>COUNTIF(Analysis!C$3:C$61,"Base Shop Collection Vol. 1")</f>
        <v>6</v>
      </c>
      <c r="C4" s="103">
        <f>IFERROR(SUMIF(Analysis!C$3:C$61,"Base Shop Collection Vol. 1",Analysis!D$3:D$61),0)</f>
        <v>9891</v>
      </c>
      <c r="D4" s="95">
        <f>IFERROR(SUMIF(Analysis!C$3:C$61,"Base Shop Collection Vol. 1",Analysis!U$3:U$61),0)</f>
        <v>21916.76</v>
      </c>
      <c r="E4" s="95">
        <f>IFERROR(SUMIF(Analysis!C$3:C$61,"Base Shop Collection Vol. 1",Analysis!V$3:V$61),0)</f>
        <v>12025.76</v>
      </c>
      <c r="F4" s="96">
        <f t="shared" si="1"/>
        <v>1.215828531</v>
      </c>
      <c r="G4" s="104">
        <f>IFERROR(SUMIF(Analysis!C$3:C$61,"Base Shop Collection Vol. 1",Analysis!O$3:O$61),0)</f>
        <v>219</v>
      </c>
      <c r="H4" s="105">
        <f>IFERROR(FLOOR(minifs(Analysis!O$3:O$61,Analysis!C$3:C$61,"Base Shop Collection Vol. 1"),1),0)</f>
        <v>33</v>
      </c>
      <c r="I4" s="52">
        <v>610.0</v>
      </c>
      <c r="J4" s="106">
        <f>IFERROR(SUMIF(Analysis!C$3:C$61,A4,Analysis!P$3:P$61),0)</f>
        <v>54</v>
      </c>
      <c r="K4" s="104">
        <f>IFERROR(SUMIF(Analysis!C$3:C$61,"Base Shop Collection Vol. 1",Analysis!Q$3:Q$61),0)</f>
        <v>16</v>
      </c>
      <c r="L4" s="95">
        <f>IFERROR(SUMIF(Analysis!C$3:C$61,"Base Shop Collection Vol. 1",Analysis!X$3:X$61)+(I4*H4),0)</f>
        <v>25018.76</v>
      </c>
      <c r="M4" s="95">
        <f t="shared" si="2"/>
        <v>15127.76</v>
      </c>
      <c r="N4" s="96">
        <f t="shared" si="3"/>
        <v>1.529446972</v>
      </c>
      <c r="O4" s="95">
        <f>M4/50</f>
        <v>302.5552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1.75" customHeight="1">
      <c r="A5" s="92" t="s">
        <v>66</v>
      </c>
      <c r="B5" s="93">
        <f>COUNTIF(Analysis!C$3:C$61,"Kumamoto Special")</f>
        <v>10</v>
      </c>
      <c r="C5" s="94">
        <f>IFERROR(SUMIF(Analysis!C$3:C$61,"Kumamoto Special",Analysis!D$3:D$61),0)</f>
        <v>8416</v>
      </c>
      <c r="D5" s="95">
        <f>IFERROR(SUMIF(Analysis!C$3:C$61,"Kumamoto Special",Analysis!U$3:U$61),0)</f>
        <v>26750.88</v>
      </c>
      <c r="E5" s="95">
        <f>IFERROR(SUMIF(Analysis!C$3:C$61,"Kumamoto Special",Analysis!V$3:V$61),0)</f>
        <v>18334.88</v>
      </c>
      <c r="F5" s="96">
        <f t="shared" si="1"/>
        <v>2.178574144</v>
      </c>
      <c r="G5" s="97">
        <f>IFERROR(SUMIF(Analysis!C$3:C$61,"Kumamoto Special",Analysis!O$3:O$61),0)</f>
        <v>98</v>
      </c>
      <c r="H5" s="98">
        <f>IFERROR(FLOOR(minifs(Analysis!O$3:O$61,Analysis!C$3:C$61,"Kumamoto Special"),1),0)</f>
        <v>9</v>
      </c>
      <c r="I5" s="99">
        <v>3000.0</v>
      </c>
      <c r="J5" s="100">
        <f>IFERROR(SUMIF(Analysis!C$3:C$61,A5,Analysis!P$3:P$61),0)</f>
        <v>69</v>
      </c>
      <c r="K5" s="97">
        <f>IFERROR(SUMIF(Analysis!C$3:C$61,"Kumamoto Special",Analysis!Q$3:Q$61),0)</f>
        <v>24</v>
      </c>
      <c r="L5" s="95">
        <f>IFERROR(SUMIF(Analysis!C$3:C$61,"Kumamoto Special",Analysis!X$3:X$61)+(I5*H5),0)</f>
        <v>36092.88</v>
      </c>
      <c r="M5" s="95">
        <f t="shared" si="2"/>
        <v>27676.88</v>
      </c>
      <c r="N5" s="96">
        <f t="shared" si="3"/>
        <v>3.288602662</v>
      </c>
      <c r="O5" s="95">
        <f t="shared" ref="O5:O8" si="4">N5-E5</f>
        <v>-18331.5914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1.75" customHeight="1">
      <c r="A6" s="101" t="s">
        <v>77</v>
      </c>
      <c r="B6" s="102">
        <f>COUNTIF(Analysis!C$3:C$61,"Live Action Collection")</f>
        <v>9</v>
      </c>
      <c r="C6" s="103">
        <f>IFERROR(SUMIF(Analysis!C$3:C$61,"Live Action Collection",Analysis!D$3:D$61),0)</f>
        <v>916.2</v>
      </c>
      <c r="D6" s="95">
        <f>IFERROR(SUMIF(Analysis!C$3:C$61,"Live Action Collection",Analysis!U$3:U$61),0)</f>
        <v>1524.1</v>
      </c>
      <c r="E6" s="95">
        <f>IFERROR(SUMIF(Analysis!C$3:C$61,"Live Action Collection",Analysis!V$3:V$61),0)</f>
        <v>607.9</v>
      </c>
      <c r="F6" s="96">
        <f t="shared" si="1"/>
        <v>0.6635014189</v>
      </c>
      <c r="G6" s="104">
        <f>IFERROR(SUMIF(Analysis!C$3:C$61,"Live Action Collection",Analysis!O$3:O$61),0)</f>
        <v>19</v>
      </c>
      <c r="H6" s="105">
        <f>IFERROR(FLOOR(minifs(Analysis!O$3:O$61,Analysis!C$3:C$61,"Live Action Collection"),1),0)</f>
        <v>2</v>
      </c>
      <c r="I6" s="52">
        <v>800.0</v>
      </c>
      <c r="J6" s="106">
        <f>IFERROR(SUMIF(Analysis!C$3:C$61,A6,Analysis!P$3:P$61),0)</f>
        <v>5</v>
      </c>
      <c r="K6" s="104">
        <f>IFERROR(SUMIF(Analysis!C$3:C$61,"Live Action Collection",Analysis!Q$3:Q$61),0)</f>
        <v>9</v>
      </c>
      <c r="L6" s="95">
        <f>IFERROR(SUMIF(Analysis!C$3:C$61,"Live Action Collection",Analysis!X$3:X$61)+(I6*H6),0)</f>
        <v>2040.1</v>
      </c>
      <c r="M6" s="95">
        <f t="shared" si="2"/>
        <v>1123.9</v>
      </c>
      <c r="N6" s="96">
        <f t="shared" si="3"/>
        <v>1.226697228</v>
      </c>
      <c r="O6" s="95">
        <f t="shared" si="4"/>
        <v>-606.6733028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1.75" customHeight="1">
      <c r="A7" s="107" t="s">
        <v>212</v>
      </c>
      <c r="B7" s="93">
        <f>COUNTIF(Analysis!C$3:C$61,"Red FIlm Colleciton")</f>
        <v>12</v>
      </c>
      <c r="C7" s="94">
        <f>IFERROR(SUMIF(Analysis!C$3:C$61,"Red FIlm Colleciton",Analysis!D$3:D$61),0)</f>
        <v>6112.8</v>
      </c>
      <c r="D7" s="95">
        <f>IFERROR(SUMIF(Analysis!C$3:C$61,"Red FIlm Colleciton",Analysis!U$3:U$61),0)</f>
        <v>11320.4</v>
      </c>
      <c r="E7" s="95">
        <f>IFERROR(SUMIF(Analysis!C$3:C$61,"Red FIlm Colleciton",Analysis!V$3:V$61),0)</f>
        <v>5207.6</v>
      </c>
      <c r="F7" s="96">
        <f t="shared" si="1"/>
        <v>0.8519172883</v>
      </c>
      <c r="G7" s="97">
        <f>IFERROR(SUMIF(Analysis!C$3:C$61,"Red FIlm Colleciton",Analysis!O$3:O$61),0)</f>
        <v>85</v>
      </c>
      <c r="H7" s="98">
        <f>IFERROR(FLOOR(minifs(Analysis!O$3:O$61,Analysis!C$3:C$61,"Red FIlm Colleciton"),1),0)</f>
        <v>6</v>
      </c>
      <c r="I7" s="99">
        <v>2000.0</v>
      </c>
      <c r="J7" s="100">
        <f>IFERROR(SUMIF(Analysis!C$3:C$61,A7,Analysis!P$3:P$61),0)</f>
        <v>0</v>
      </c>
      <c r="K7" s="97">
        <f>IFERROR(SUMIF(Analysis!C$3:C$61,"Red FIlm Colleciton",Analysis!Q$3:Q$61),0)</f>
        <v>13</v>
      </c>
      <c r="L7" s="95">
        <f>IFERROR(SUMIF(Analysis!C$3:C$61,"Red FIlm Colleciton",Analysis!X$3:X$61)+(I7*H7),0)</f>
        <v>15970.4</v>
      </c>
      <c r="M7" s="95">
        <f t="shared" si="2"/>
        <v>9857.6</v>
      </c>
      <c r="N7" s="96">
        <f t="shared" si="3"/>
        <v>1.61261615</v>
      </c>
      <c r="O7" s="95">
        <f t="shared" si="4"/>
        <v>-5205.987384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1.75" customHeight="1">
      <c r="A8" s="101" t="s">
        <v>106</v>
      </c>
      <c r="B8" s="102">
        <f>COUNTIF(Analysis!C$3:C$61,"Best Selection Vol. 3")</f>
        <v>12</v>
      </c>
      <c r="C8" s="103">
        <f>IFERROR(SUMIF(Analysis!C$3:C$61,"Best Selection Vol. 3",Analysis!D$3:D$61),0)</f>
        <v>1018.56</v>
      </c>
      <c r="D8" s="95">
        <f>IFERROR(SUMIF(Analysis!C$3:C$61,"Best Selection Vol. 3",Analysis!U$3:U$61),0)</f>
        <v>1471.2</v>
      </c>
      <c r="E8" s="95">
        <f>IFERROR(SUMIF(Analysis!C$3:C$61,"Best Selection Vol. 3",Analysis!V$3:V$61),0)</f>
        <v>452.64</v>
      </c>
      <c r="F8" s="96">
        <f t="shared" si="1"/>
        <v>0.4443920829</v>
      </c>
      <c r="G8" s="104">
        <f>IFERROR(SUMIF(Analysis!C$3:C$61,"Best Selection Vol. 3",Analysis!O$3:O$61),0)</f>
        <v>28</v>
      </c>
      <c r="H8" s="105">
        <f>IFERROR(FLOOR(minifs(Analysis!O$3:O$61,Analysis!C$3:C$61,"Best Selection Vol. 3"),1),0)</f>
        <v>2</v>
      </c>
      <c r="I8" s="52">
        <v>800.0</v>
      </c>
      <c r="J8" s="106">
        <f>IFERROR(SUMIF(Analysis!C$3:C$61,A8,Analysis!P$3:P$61),0)</f>
        <v>3</v>
      </c>
      <c r="K8" s="104">
        <f>IFERROR(SUMIF(Analysis!C$3:C$61,"Best Selection Vol. 3",Analysis!Q$3:Q$61),0)</f>
        <v>12</v>
      </c>
      <c r="L8" s="95">
        <f>IFERROR(SUMIF(Analysis!C$3:C$61,"Best Selection Vol. 3",Analysis!X$3:X$61)+(I8*H8),0)</f>
        <v>2017.2</v>
      </c>
      <c r="M8" s="95">
        <f t="shared" si="2"/>
        <v>998.64</v>
      </c>
      <c r="N8" s="96">
        <f t="shared" si="3"/>
        <v>0.9804429783</v>
      </c>
      <c r="O8" s="95">
        <f t="shared" si="4"/>
        <v>-451.659557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1.75" customHeight="1">
      <c r="A9" s="37" t="s">
        <v>213</v>
      </c>
      <c r="B9" s="36"/>
      <c r="C9" s="108">
        <f t="shared" ref="C9:E9" si="5">SUM(C3:C8)</f>
        <v>32432.56</v>
      </c>
      <c r="D9" s="108">
        <f t="shared" si="5"/>
        <v>74337.19</v>
      </c>
      <c r="E9" s="108">
        <f t="shared" si="5"/>
        <v>41904.63</v>
      </c>
      <c r="F9" s="109">
        <f>AVERAGE(F3:F8)</f>
        <v>1.037039581</v>
      </c>
      <c r="G9" s="110">
        <f t="shared" ref="G9:H9" si="6">SUM(G3:G8)</f>
        <v>549</v>
      </c>
      <c r="H9" s="111">
        <f t="shared" si="6"/>
        <v>59</v>
      </c>
      <c r="I9" s="112"/>
      <c r="J9" s="112">
        <f t="shared" ref="J9:M9" si="7">SUM(J3:J8)</f>
        <v>190</v>
      </c>
      <c r="K9" s="110">
        <f t="shared" si="7"/>
        <v>100</v>
      </c>
      <c r="L9" s="108">
        <f t="shared" si="7"/>
        <v>95503.19</v>
      </c>
      <c r="M9" s="108">
        <f t="shared" si="7"/>
        <v>63070.63</v>
      </c>
      <c r="N9" s="109">
        <f>AVERAGE(N3:N8)</f>
        <v>1.666843117</v>
      </c>
      <c r="O9" s="108">
        <f>SUM(O3:O8)</f>
        <v>-23879.06394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0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0" customHeight="1">
      <c r="A11" s="113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0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0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 t="s">
        <v>214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0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0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0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0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0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0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0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</row>
  </sheetData>
  <mergeCells count="3">
    <mergeCell ref="A1:H1"/>
    <mergeCell ref="A9:B9"/>
    <mergeCell ref="A11:H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2026-06-07T19:51:20Z</dcterms:created>
  <dc:creator>openpyxl</dc:creator>
</cp:coreProperties>
</file>